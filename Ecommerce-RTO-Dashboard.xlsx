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9b849e931891fe38/Documents/"/>
    </mc:Choice>
  </mc:AlternateContent>
  <xr:revisionPtr revIDLastSave="948" documentId="8_{78892A5B-6201-4E1F-9A0A-97ECB101EDFB}" xr6:coauthVersionLast="47" xr6:coauthVersionMax="47" xr10:uidLastSave="{AEF33035-DCC2-41A0-872D-5AB797538BEE}"/>
  <bookViews>
    <workbookView xWindow="-120" yWindow="-120" windowWidth="20730" windowHeight="11040" activeTab="2" xr2:uid="{77397F55-F5EF-4FF8-BE4D-42EA4E162C2D}"/>
  </bookViews>
  <sheets>
    <sheet name="analysis" sheetId="2" r:id="rId1"/>
    <sheet name="dashboard" sheetId="4" r:id="rId2"/>
    <sheet name="Sheet1" sheetId="5" r:id="rId3"/>
    <sheet name="dataset" sheetId="1" r:id="rId4"/>
  </sheets>
  <definedNames>
    <definedName name="Slicer_Months__Order_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5" i="2" l="1"/>
  <c r="H23" i="2"/>
  <c r="H27" i="2"/>
  <c r="H24" i="2"/>
  <c r="H26" i="2"/>
  <c r="H22" i="2"/>
  <c r="H9" i="2"/>
  <c r="H7" i="2"/>
  <c r="H6" i="2"/>
  <c r="H10" i="2"/>
  <c r="H8" i="2"/>
  <c r="H5" i="2"/>
</calcChain>
</file>

<file path=xl/sharedStrings.xml><?xml version="1.0" encoding="utf-8"?>
<sst xmlns="http://schemas.openxmlformats.org/spreadsheetml/2006/main" count="9056" uniqueCount="1491">
  <si>
    <t>Order_Date</t>
  </si>
  <si>
    <t>Order_ID</t>
  </si>
  <si>
    <t>Customer_ID</t>
  </si>
  <si>
    <t>City</t>
  </si>
  <si>
    <t>State</t>
  </si>
  <si>
    <t>Category</t>
  </si>
  <si>
    <t>Sub_Category</t>
  </si>
  <si>
    <t>Product</t>
  </si>
  <si>
    <t>Qty</t>
  </si>
  <si>
    <t>Price</t>
  </si>
  <si>
    <t>Discount_%</t>
  </si>
  <si>
    <t>Discount_Amt</t>
  </si>
  <si>
    <t>Final_Price</t>
  </si>
  <si>
    <t>Payment_Mode</t>
  </si>
  <si>
    <t>Delivery_Days</t>
  </si>
  <si>
    <t>RTO</t>
  </si>
  <si>
    <t>ORD010000</t>
  </si>
  <si>
    <t>CUST00058</t>
  </si>
  <si>
    <t>Chennai</t>
  </si>
  <si>
    <t>Tamil Nadu</t>
  </si>
  <si>
    <t>Home</t>
  </si>
  <si>
    <t>Mixer</t>
  </si>
  <si>
    <t>Mixer Lite</t>
  </si>
  <si>
    <t>UPI</t>
  </si>
  <si>
    <t>No</t>
  </si>
  <si>
    <t>ORD010001</t>
  </si>
  <si>
    <t>CUST00014</t>
  </si>
  <si>
    <t>Madurai</t>
  </si>
  <si>
    <t>Fashion</t>
  </si>
  <si>
    <t>Handbag</t>
  </si>
  <si>
    <t>Handbag Plus</t>
  </si>
  <si>
    <t>ORD010002</t>
  </si>
  <si>
    <t>CUST00173</t>
  </si>
  <si>
    <t>Bangalore</t>
  </si>
  <si>
    <t>Karnataka</t>
  </si>
  <si>
    <t>Electronics</t>
  </si>
  <si>
    <t>Smart Watch</t>
  </si>
  <si>
    <t>Smart Watch Pro</t>
  </si>
  <si>
    <t>Net Banking</t>
  </si>
  <si>
    <t>ORD010003</t>
  </si>
  <si>
    <t>CUST00151</t>
  </si>
  <si>
    <t>Trichy</t>
  </si>
  <si>
    <t>Dinner Set</t>
  </si>
  <si>
    <t>Dinner Set Lite</t>
  </si>
  <si>
    <t>COD</t>
  </si>
  <si>
    <t>ORD010004</t>
  </si>
  <si>
    <t>CUST00084</t>
  </si>
  <si>
    <t>Kolkata</t>
  </si>
  <si>
    <t>West Bengal</t>
  </si>
  <si>
    <t>Mixer Max</t>
  </si>
  <si>
    <t>Credit Card</t>
  </si>
  <si>
    <t>ORD010005</t>
  </si>
  <si>
    <t>CUST00286</t>
  </si>
  <si>
    <t>Delhi</t>
  </si>
  <si>
    <t>Bedsheet</t>
  </si>
  <si>
    <t>Bedsheet Lite</t>
  </si>
  <si>
    <t>Debit Card</t>
  </si>
  <si>
    <t>ORD010006</t>
  </si>
  <si>
    <t>CUST00256</t>
  </si>
  <si>
    <t>Pune</t>
  </si>
  <si>
    <t>Maharashtra</t>
  </si>
  <si>
    <t>Beauty</t>
  </si>
  <si>
    <t>Shampoo</t>
  </si>
  <si>
    <t>Shampoo Max</t>
  </si>
  <si>
    <t>ORD010007</t>
  </si>
  <si>
    <t>CUST00261</t>
  </si>
  <si>
    <t>Coimbatore</t>
  </si>
  <si>
    <t>Mobile</t>
  </si>
  <si>
    <t>Mobile Pro</t>
  </si>
  <si>
    <t>ORD010008</t>
  </si>
  <si>
    <t>CUST00006</t>
  </si>
  <si>
    <t>Grocery</t>
  </si>
  <si>
    <t>Oil</t>
  </si>
  <si>
    <t>Oil Max</t>
  </si>
  <si>
    <t>ORD010009</t>
  </si>
  <si>
    <t>CUST00153</t>
  </si>
  <si>
    <t>Dal</t>
  </si>
  <si>
    <t>Dal Lite</t>
  </si>
  <si>
    <t>ORD010010</t>
  </si>
  <si>
    <t>CUST00158</t>
  </si>
  <si>
    <t>Laptop</t>
  </si>
  <si>
    <t>Laptop Classic</t>
  </si>
  <si>
    <t>ORD010011</t>
  </si>
  <si>
    <t>CUST00085</t>
  </si>
  <si>
    <t>Hyderabad</t>
  </si>
  <si>
    <t>Telangana</t>
  </si>
  <si>
    <t>Snacks</t>
  </si>
  <si>
    <t>Snacks Plus</t>
  </si>
  <si>
    <t>ORD010012</t>
  </si>
  <si>
    <t>CUST00232</t>
  </si>
  <si>
    <t>Jeans</t>
  </si>
  <si>
    <t>Jeans Pro</t>
  </si>
  <si>
    <t>Yes</t>
  </si>
  <si>
    <t>ORD010013</t>
  </si>
  <si>
    <t>CUST00170</t>
  </si>
  <si>
    <t>Dal Max</t>
  </si>
  <si>
    <t>ORD010014</t>
  </si>
  <si>
    <t>CUST00098</t>
  </si>
  <si>
    <t>Smart Watch Max</t>
  </si>
  <si>
    <t>ORD010015</t>
  </si>
  <si>
    <t>CUST00128</t>
  </si>
  <si>
    <t>ORD010016</t>
  </si>
  <si>
    <t>CUST00008</t>
  </si>
  <si>
    <t>Jeans Plus</t>
  </si>
  <si>
    <t>ORD010017</t>
  </si>
  <si>
    <t>CUST00147</t>
  </si>
  <si>
    <t>Spices</t>
  </si>
  <si>
    <t>Spices Lite</t>
  </si>
  <si>
    <t>ORD010018</t>
  </si>
  <si>
    <t>CUST00258</t>
  </si>
  <si>
    <t>T-Shirt</t>
  </si>
  <si>
    <t>T-Shirt Classic</t>
  </si>
  <si>
    <t>ORD010019</t>
  </si>
  <si>
    <t>CUST00127</t>
  </si>
  <si>
    <t>Rice</t>
  </si>
  <si>
    <t>Rice Classic</t>
  </si>
  <si>
    <t>ORD010020</t>
  </si>
  <si>
    <t>CUST00154</t>
  </si>
  <si>
    <t>Bedsheet Pro</t>
  </si>
  <si>
    <t>ORD010021</t>
  </si>
  <si>
    <t>CUST00126</t>
  </si>
  <si>
    <t>Mixer Plus</t>
  </si>
  <si>
    <t>ORD010022</t>
  </si>
  <si>
    <t>CUST00136</t>
  </si>
  <si>
    <t>Power Bank</t>
  </si>
  <si>
    <t>Power Bank Lite</t>
  </si>
  <si>
    <t>ORD010023</t>
  </si>
  <si>
    <t>CUST00048</t>
  </si>
  <si>
    <t>ORD010024</t>
  </si>
  <si>
    <t>CUST00077</t>
  </si>
  <si>
    <t>Headphones</t>
  </si>
  <si>
    <t>Headphones Classic</t>
  </si>
  <si>
    <t>ORD010025</t>
  </si>
  <si>
    <t>Dinner Set Plus</t>
  </si>
  <si>
    <t>ORD010026</t>
  </si>
  <si>
    <t>CUST00211</t>
  </si>
  <si>
    <t>Mixer Pro</t>
  </si>
  <si>
    <t>ORD010027</t>
  </si>
  <si>
    <t>CUST00099</t>
  </si>
  <si>
    <t>Cooker</t>
  </si>
  <si>
    <t>Cooker Pro</t>
  </si>
  <si>
    <t>ORD010028</t>
  </si>
  <si>
    <t>Power Bank Plus</t>
  </si>
  <si>
    <t>ORD010029</t>
  </si>
  <si>
    <t>CUST00224</t>
  </si>
  <si>
    <t>Snacks Lite</t>
  </si>
  <si>
    <t>ORD010030</t>
  </si>
  <si>
    <t>CUST00168</t>
  </si>
  <si>
    <t>ORD010031</t>
  </si>
  <si>
    <t>CUST00165</t>
  </si>
  <si>
    <t>Perfume</t>
  </si>
  <si>
    <t>Perfume Lite</t>
  </si>
  <si>
    <t>ORD010032</t>
  </si>
  <si>
    <t>CUST00159</t>
  </si>
  <si>
    <t>ORD010033</t>
  </si>
  <si>
    <t>CUST00003</t>
  </si>
  <si>
    <t>Shampoo Lite</t>
  </si>
  <si>
    <t>ORD010034</t>
  </si>
  <si>
    <t>CUST00272</t>
  </si>
  <si>
    <t>Oil Plus</t>
  </si>
  <si>
    <t>ORD010035</t>
  </si>
  <si>
    <t>CUST00142</t>
  </si>
  <si>
    <t>ORD010036</t>
  </si>
  <si>
    <t>CUST00079</t>
  </si>
  <si>
    <t>Smart Watch Plus</t>
  </si>
  <si>
    <t>ORD010037</t>
  </si>
  <si>
    <t>CUST00195</t>
  </si>
  <si>
    <t>Headphones Max</t>
  </si>
  <si>
    <t>ORD010038</t>
  </si>
  <si>
    <t>CUST00015</t>
  </si>
  <si>
    <t>Curtains</t>
  </si>
  <si>
    <t>Curtains Lite</t>
  </si>
  <si>
    <t>ORD010039</t>
  </si>
  <si>
    <t>CUST00237</t>
  </si>
  <si>
    <t>Mumbai</t>
  </si>
  <si>
    <t>Headphones Plus</t>
  </si>
  <si>
    <t>ORD010040</t>
  </si>
  <si>
    <t>CUST00241</t>
  </si>
  <si>
    <t>Rice Max</t>
  </si>
  <si>
    <t>ORD010041</t>
  </si>
  <si>
    <t>CUST00243</t>
  </si>
  <si>
    <t>Dal Plus</t>
  </si>
  <si>
    <t>ORD010042</t>
  </si>
  <si>
    <t>Spices Plus</t>
  </si>
  <si>
    <t>ORD010043</t>
  </si>
  <si>
    <t>CUST00062</t>
  </si>
  <si>
    <t>ORD010044</t>
  </si>
  <si>
    <t>CUST00186</t>
  </si>
  <si>
    <t>Watch</t>
  </si>
  <si>
    <t>Watch Lite</t>
  </si>
  <si>
    <t>ORD010045</t>
  </si>
  <si>
    <t>CUST00143</t>
  </si>
  <si>
    <t>Watch Classic</t>
  </si>
  <si>
    <t>ORD010046</t>
  </si>
  <si>
    <t>CUST00144</t>
  </si>
  <si>
    <t>Dinner Set Pro</t>
  </si>
  <si>
    <t>ORD010047</t>
  </si>
  <si>
    <t>CUST00230</t>
  </si>
  <si>
    <t>Headphones Lite</t>
  </si>
  <si>
    <t>ORD010048</t>
  </si>
  <si>
    <t>Lipstick</t>
  </si>
  <si>
    <t>Lipstick Max</t>
  </si>
  <si>
    <t>ORD010049</t>
  </si>
  <si>
    <t>Snacks Max</t>
  </si>
  <si>
    <t>ORD010050</t>
  </si>
  <si>
    <t>CUST00284</t>
  </si>
  <si>
    <t>Watch Pro</t>
  </si>
  <si>
    <t>ORD010051</t>
  </si>
  <si>
    <t>CUST00059</t>
  </si>
  <si>
    <t>Perfume Pro</t>
  </si>
  <si>
    <t>ORD010052</t>
  </si>
  <si>
    <t>CUST00214</t>
  </si>
  <si>
    <t>ORD010053</t>
  </si>
  <si>
    <t>CUST00031</t>
  </si>
  <si>
    <t>Laptop Lite</t>
  </si>
  <si>
    <t>ORD010054</t>
  </si>
  <si>
    <t>Laptop Max</t>
  </si>
  <si>
    <t>ORD010055</t>
  </si>
  <si>
    <t>CUST00218</t>
  </si>
  <si>
    <t>ORD010056</t>
  </si>
  <si>
    <t>CUST00156</t>
  </si>
  <si>
    <t>Dinner Set Classic</t>
  </si>
  <si>
    <t>ORD010057</t>
  </si>
  <si>
    <t>CUST00295</t>
  </si>
  <si>
    <t>ORD010058</t>
  </si>
  <si>
    <t>CUST00252</t>
  </si>
  <si>
    <t>Lipstick Plus</t>
  </si>
  <si>
    <t>ORD010059</t>
  </si>
  <si>
    <t>CUST00019</t>
  </si>
  <si>
    <t>ORD010060</t>
  </si>
  <si>
    <t>ORD010061</t>
  </si>
  <si>
    <t>CUST00123</t>
  </si>
  <si>
    <t>ORD010062</t>
  </si>
  <si>
    <t>CUST00140</t>
  </si>
  <si>
    <t>ORD010063</t>
  </si>
  <si>
    <t>CUST00175</t>
  </si>
  <si>
    <t>Bedsheet Max</t>
  </si>
  <si>
    <t>ORD010064</t>
  </si>
  <si>
    <t>CUST00194</t>
  </si>
  <si>
    <t>ORD010065</t>
  </si>
  <si>
    <t>CUST00078</t>
  </si>
  <si>
    <t>ORD010066</t>
  </si>
  <si>
    <t>CUST00080</t>
  </si>
  <si>
    <t>ORD010067</t>
  </si>
  <si>
    <t>CUST00278</t>
  </si>
  <si>
    <t>Rice Lite</t>
  </si>
  <si>
    <t>ORD010068</t>
  </si>
  <si>
    <t>Headphones Pro</t>
  </si>
  <si>
    <t>ORD010069</t>
  </si>
  <si>
    <t>CUST00041</t>
  </si>
  <si>
    <t>Moisturizer</t>
  </si>
  <si>
    <t>Moisturizer Lite</t>
  </si>
  <si>
    <t>ORD010070</t>
  </si>
  <si>
    <t>T-Shirt Plus</t>
  </si>
  <si>
    <t>ORD010071</t>
  </si>
  <si>
    <t>CUST00055</t>
  </si>
  <si>
    <t>Moisturizer Max</t>
  </si>
  <si>
    <t>ORD010072</t>
  </si>
  <si>
    <t>CUST00255</t>
  </si>
  <si>
    <t>Handbag Max</t>
  </si>
  <si>
    <t>ORD010073</t>
  </si>
  <si>
    <t>CUST00021</t>
  </si>
  <si>
    <t>Face Wash</t>
  </si>
  <si>
    <t>Face Wash Classic</t>
  </si>
  <si>
    <t>ORD010074</t>
  </si>
  <si>
    <t>CUST00188</t>
  </si>
  <si>
    <t>Oil Lite</t>
  </si>
  <si>
    <t>ORD010075</t>
  </si>
  <si>
    <t>CUST00204</t>
  </si>
  <si>
    <t>Bedsheet Plus</t>
  </si>
  <si>
    <t>ORD010076</t>
  </si>
  <si>
    <t>CUST00191</t>
  </si>
  <si>
    <t>ORD010077</t>
  </si>
  <si>
    <t>CUST00155</t>
  </si>
  <si>
    <t>Laptop Pro</t>
  </si>
  <si>
    <t>ORD010078</t>
  </si>
  <si>
    <t>CUST00277</t>
  </si>
  <si>
    <t>ORD010079</t>
  </si>
  <si>
    <t>Dinner Set Max</t>
  </si>
  <si>
    <t>ORD010080</t>
  </si>
  <si>
    <t>CUST00026</t>
  </si>
  <si>
    <t>Jeans Classic</t>
  </si>
  <si>
    <t>ORD010081</t>
  </si>
  <si>
    <t>ORD010082</t>
  </si>
  <si>
    <t>ORD010083</t>
  </si>
  <si>
    <t>CUST00023</t>
  </si>
  <si>
    <t>Curtains Pro</t>
  </si>
  <si>
    <t>ORD010084</t>
  </si>
  <si>
    <t>CUST00076</t>
  </si>
  <si>
    <t>Shoes</t>
  </si>
  <si>
    <t>Shoes Classic</t>
  </si>
  <si>
    <t>ORD010085</t>
  </si>
  <si>
    <t>Watch Plus</t>
  </si>
  <si>
    <t>ORD010086</t>
  </si>
  <si>
    <t>CUST00131</t>
  </si>
  <si>
    <t>ORD010087</t>
  </si>
  <si>
    <t>ORD010088</t>
  </si>
  <si>
    <t>CUST00247</t>
  </si>
  <si>
    <t>ORD010089</t>
  </si>
  <si>
    <t>CUST00137</t>
  </si>
  <si>
    <t>Shoes Max</t>
  </si>
  <si>
    <t>ORD010090</t>
  </si>
  <si>
    <t>CUST00016</t>
  </si>
  <si>
    <t>ORD010091</t>
  </si>
  <si>
    <t>Rice Pro</t>
  </si>
  <si>
    <t>ORD010092</t>
  </si>
  <si>
    <t>CUST00250</t>
  </si>
  <si>
    <t>ORD010093</t>
  </si>
  <si>
    <t>CUST00004</t>
  </si>
  <si>
    <t>ORD010094</t>
  </si>
  <si>
    <t>Face Wash Max</t>
  </si>
  <si>
    <t>ORD010095</t>
  </si>
  <si>
    <t>CUST00236</t>
  </si>
  <si>
    <t>ORD010096</t>
  </si>
  <si>
    <t>CUST00262</t>
  </si>
  <si>
    <t>ORD010097</t>
  </si>
  <si>
    <t>CUST00089</t>
  </si>
  <si>
    <t>T-Shirt Lite</t>
  </si>
  <si>
    <t>ORD010098</t>
  </si>
  <si>
    <t>CUST00166</t>
  </si>
  <si>
    <t>ORD010099</t>
  </si>
  <si>
    <t>CUST00189</t>
  </si>
  <si>
    <t>Mobile Classic</t>
  </si>
  <si>
    <t>ORD010100</t>
  </si>
  <si>
    <t>CUST00257</t>
  </si>
  <si>
    <t>ORD010101</t>
  </si>
  <si>
    <t>CUST00082</t>
  </si>
  <si>
    <t>Cooker Plus</t>
  </si>
  <si>
    <t>ORD010102</t>
  </si>
  <si>
    <t>CUST00146</t>
  </si>
  <si>
    <t>ORD010103</t>
  </si>
  <si>
    <t>Lipstick Lite</t>
  </si>
  <si>
    <t>ORD010104</t>
  </si>
  <si>
    <t>Jeans Lite</t>
  </si>
  <si>
    <t>ORD010105</t>
  </si>
  <si>
    <t>CUST00068</t>
  </si>
  <si>
    <t>ORD010106</t>
  </si>
  <si>
    <t>ORD010107</t>
  </si>
  <si>
    <t>ORD010108</t>
  </si>
  <si>
    <t>CUST00064</t>
  </si>
  <si>
    <t>ORD010109</t>
  </si>
  <si>
    <t>Smart Watch Classic</t>
  </si>
  <si>
    <t>ORD010110</t>
  </si>
  <si>
    <t>CUST00075</t>
  </si>
  <si>
    <t>ORD010111</t>
  </si>
  <si>
    <t>CUST00281</t>
  </si>
  <si>
    <t>Spices Pro</t>
  </si>
  <si>
    <t>ORD010112</t>
  </si>
  <si>
    <t>CUST00275</t>
  </si>
  <si>
    <t>ORD010113</t>
  </si>
  <si>
    <t>Power Bank Classic</t>
  </si>
  <si>
    <t>ORD010114</t>
  </si>
  <si>
    <t>CUST00183</t>
  </si>
  <si>
    <t>ORD010115</t>
  </si>
  <si>
    <t>CUST00238</t>
  </si>
  <si>
    <t>ORD010116</t>
  </si>
  <si>
    <t>CUST00279</t>
  </si>
  <si>
    <t>ORD010117</t>
  </si>
  <si>
    <t>CUST00174</t>
  </si>
  <si>
    <t>Perfume Max</t>
  </si>
  <si>
    <t>ORD010118</t>
  </si>
  <si>
    <t>Mobile Max</t>
  </si>
  <si>
    <t>ORD010119</t>
  </si>
  <si>
    <t>CUST00223</t>
  </si>
  <si>
    <t>Mobile Plus</t>
  </si>
  <si>
    <t>ORD010120</t>
  </si>
  <si>
    <t>Moisturizer Pro</t>
  </si>
  <si>
    <t>ORD010121</t>
  </si>
  <si>
    <t>Mobile Lite</t>
  </si>
  <si>
    <t>ORD010122</t>
  </si>
  <si>
    <t>ORD010123</t>
  </si>
  <si>
    <t>CUST00081</t>
  </si>
  <si>
    <t>ORD010124</t>
  </si>
  <si>
    <t>CUST00067</t>
  </si>
  <si>
    <t>ORD010125</t>
  </si>
  <si>
    <t>CUST00038</t>
  </si>
  <si>
    <t>ORD010126</t>
  </si>
  <si>
    <t>ORD010127</t>
  </si>
  <si>
    <t>ORD010128</t>
  </si>
  <si>
    <t>CUST00022</t>
  </si>
  <si>
    <t>ORD010129</t>
  </si>
  <si>
    <t>CUST00248</t>
  </si>
  <si>
    <t>ORD010130</t>
  </si>
  <si>
    <t>CUST00177</t>
  </si>
  <si>
    <t>ORD010131</t>
  </si>
  <si>
    <t>CUST00215</t>
  </si>
  <si>
    <t>ORD010132</t>
  </si>
  <si>
    <t>CUST00259</t>
  </si>
  <si>
    <t>ORD010133</t>
  </si>
  <si>
    <t>CUST00221</t>
  </si>
  <si>
    <t>ORD010134</t>
  </si>
  <si>
    <t>CUST00282</t>
  </si>
  <si>
    <t>Snacks Pro</t>
  </si>
  <si>
    <t>ORD010135</t>
  </si>
  <si>
    <t>ORD010136</t>
  </si>
  <si>
    <t>CUST00164</t>
  </si>
  <si>
    <t>ORD010137</t>
  </si>
  <si>
    <t>CUST00299</t>
  </si>
  <si>
    <t>ORD010138</t>
  </si>
  <si>
    <t>Power Bank Pro</t>
  </si>
  <si>
    <t>ORD010139</t>
  </si>
  <si>
    <t>CUST00032</t>
  </si>
  <si>
    <t>Dal Classic</t>
  </si>
  <si>
    <t>ORD010140</t>
  </si>
  <si>
    <t>ORD010141</t>
  </si>
  <si>
    <t>CUST00179</t>
  </si>
  <si>
    <t>ORD010142</t>
  </si>
  <si>
    <t>CUST00178</t>
  </si>
  <si>
    <t>ORD010143</t>
  </si>
  <si>
    <t>T-Shirt Pro</t>
  </si>
  <si>
    <t>ORD010144</t>
  </si>
  <si>
    <t>CUST00244</t>
  </si>
  <si>
    <t>ORD010145</t>
  </si>
  <si>
    <t>ORD010146</t>
  </si>
  <si>
    <t>Shampoo Classic</t>
  </si>
  <si>
    <t>ORD010147</t>
  </si>
  <si>
    <t>ORD010148</t>
  </si>
  <si>
    <t>CUST00134</t>
  </si>
  <si>
    <t>Watch Max</t>
  </si>
  <si>
    <t>ORD010149</t>
  </si>
  <si>
    <t>Oil Pro</t>
  </si>
  <si>
    <t>ORD010150</t>
  </si>
  <si>
    <t>CUST00192</t>
  </si>
  <si>
    <t>Spices Classic</t>
  </si>
  <si>
    <t>ORD010151</t>
  </si>
  <si>
    <t>ORD010152</t>
  </si>
  <si>
    <t>CUST00251</t>
  </si>
  <si>
    <t>ORD010153</t>
  </si>
  <si>
    <t>ORD010154</t>
  </si>
  <si>
    <t>ORD010155</t>
  </si>
  <si>
    <t>ORD010156</t>
  </si>
  <si>
    <t>ORD010157</t>
  </si>
  <si>
    <t>CUST00052</t>
  </si>
  <si>
    <t>ORD010158</t>
  </si>
  <si>
    <t>CUST00072</t>
  </si>
  <si>
    <t>Mixer Classic</t>
  </si>
  <si>
    <t>ORD010159</t>
  </si>
  <si>
    <t>CUST00090</t>
  </si>
  <si>
    <t>ORD010160</t>
  </si>
  <si>
    <t>Shoes Lite</t>
  </si>
  <si>
    <t>ORD010161</t>
  </si>
  <si>
    <t>Bedsheet Classic</t>
  </si>
  <si>
    <t>ORD010162</t>
  </si>
  <si>
    <t>CUST00287</t>
  </si>
  <si>
    <t>ORD010163</t>
  </si>
  <si>
    <t>CUST00105</t>
  </si>
  <si>
    <t>ORD010164</t>
  </si>
  <si>
    <t>CUST00051</t>
  </si>
  <si>
    <t>ORD010165</t>
  </si>
  <si>
    <t>CUST00101</t>
  </si>
  <si>
    <t>ORD010166</t>
  </si>
  <si>
    <t>ORD010167</t>
  </si>
  <si>
    <t>CUST00025</t>
  </si>
  <si>
    <t>ORD010168</t>
  </si>
  <si>
    <t>ORD010169</t>
  </si>
  <si>
    <t>ORD010170</t>
  </si>
  <si>
    <t>Jeans Max</t>
  </si>
  <si>
    <t>ORD010171</t>
  </si>
  <si>
    <t>CUST00088</t>
  </si>
  <si>
    <t>ORD010172</t>
  </si>
  <si>
    <t>CUST00039</t>
  </si>
  <si>
    <t>ORD010173</t>
  </si>
  <si>
    <t>CUST00289</t>
  </si>
  <si>
    <t>ORD010174</t>
  </si>
  <si>
    <t>ORD010175</t>
  </si>
  <si>
    <t>CUST00152</t>
  </si>
  <si>
    <t>ORD010176</t>
  </si>
  <si>
    <t>ORD010177</t>
  </si>
  <si>
    <t>CUST00198</t>
  </si>
  <si>
    <t>Curtains Plus</t>
  </si>
  <si>
    <t>ORD010178</t>
  </si>
  <si>
    <t>CUST00033</t>
  </si>
  <si>
    <t>ORD010179</t>
  </si>
  <si>
    <t>Lipstick Classic</t>
  </si>
  <si>
    <t>ORD010180</t>
  </si>
  <si>
    <t>CUST00103</t>
  </si>
  <si>
    <t>ORD010181</t>
  </si>
  <si>
    <t>Handbag Classic</t>
  </si>
  <si>
    <t>ORD010182</t>
  </si>
  <si>
    <t>ORD010183</t>
  </si>
  <si>
    <t>ORD010184</t>
  </si>
  <si>
    <t>CUST00205</t>
  </si>
  <si>
    <t>Face Wash Pro</t>
  </si>
  <si>
    <t>ORD010185</t>
  </si>
  <si>
    <t>ORD010186</t>
  </si>
  <si>
    <t>CUST00106</t>
  </si>
  <si>
    <t>ORD010187</t>
  </si>
  <si>
    <t>CUST00056</t>
  </si>
  <si>
    <t>Handbag Lite</t>
  </si>
  <si>
    <t>ORD010188</t>
  </si>
  <si>
    <t>CUST00222</t>
  </si>
  <si>
    <t>ORD010189</t>
  </si>
  <si>
    <t>Cooker Lite</t>
  </si>
  <si>
    <t>ORD010190</t>
  </si>
  <si>
    <t>CUST00181</t>
  </si>
  <si>
    <t>ORD010191</t>
  </si>
  <si>
    <t>CUST00073</t>
  </si>
  <si>
    <t>Perfume Classic</t>
  </si>
  <si>
    <t>ORD010192</t>
  </si>
  <si>
    <t>ORD010193</t>
  </si>
  <si>
    <t>CUST00254</t>
  </si>
  <si>
    <t>Perfume Plus</t>
  </si>
  <si>
    <t>ORD010194</t>
  </si>
  <si>
    <t>CUST00235</t>
  </si>
  <si>
    <t>Moisturizer Classic</t>
  </si>
  <si>
    <t>ORD010195</t>
  </si>
  <si>
    <t>Shoes Pro</t>
  </si>
  <si>
    <t>ORD010196</t>
  </si>
  <si>
    <t>CUST00180</t>
  </si>
  <si>
    <t>ORD010197</t>
  </si>
  <si>
    <t>CUST00150</t>
  </si>
  <si>
    <t>Oil Classic</t>
  </si>
  <si>
    <t>ORD010198</t>
  </si>
  <si>
    <t>ORD010199</t>
  </si>
  <si>
    <t>ORD010200</t>
  </si>
  <si>
    <t>Shampoo Plus</t>
  </si>
  <si>
    <t>ORD010201</t>
  </si>
  <si>
    <t>ORD010202</t>
  </si>
  <si>
    <t>ORD010203</t>
  </si>
  <si>
    <t>CUST00047</t>
  </si>
  <si>
    <t>Laptop Plus</t>
  </si>
  <si>
    <t>ORD010204</t>
  </si>
  <si>
    <t>ORD010205</t>
  </si>
  <si>
    <t>CUST00074</t>
  </si>
  <si>
    <t>ORD010206</t>
  </si>
  <si>
    <t>CUST00227</t>
  </si>
  <si>
    <t>ORD010207</t>
  </si>
  <si>
    <t>ORD010208</t>
  </si>
  <si>
    <t>CUST00037</t>
  </si>
  <si>
    <t>ORD010209</t>
  </si>
  <si>
    <t>CUST00009</t>
  </si>
  <si>
    <t>ORD010210</t>
  </si>
  <si>
    <t>ORD010211</t>
  </si>
  <si>
    <t>CUST00034</t>
  </si>
  <si>
    <t>Shampoo Pro</t>
  </si>
  <si>
    <t>ORD010212</t>
  </si>
  <si>
    <t>ORD010213</t>
  </si>
  <si>
    <t>CUST00061</t>
  </si>
  <si>
    <t>Curtains Max</t>
  </si>
  <si>
    <t>ORD010214</t>
  </si>
  <si>
    <t>ORD010215</t>
  </si>
  <si>
    <t>CUST00092</t>
  </si>
  <si>
    <t>ORD010216</t>
  </si>
  <si>
    <t>Rice Plus</t>
  </si>
  <si>
    <t>ORD010217</t>
  </si>
  <si>
    <t>ORD010218</t>
  </si>
  <si>
    <t>ORD010219</t>
  </si>
  <si>
    <t>ORD010220</t>
  </si>
  <si>
    <t>CUST00202</t>
  </si>
  <si>
    <t>ORD010221</t>
  </si>
  <si>
    <t>CUST00163</t>
  </si>
  <si>
    <t>ORD010222</t>
  </si>
  <si>
    <t>CUST00107</t>
  </si>
  <si>
    <t>ORD010223</t>
  </si>
  <si>
    <t>Shoes Plus</t>
  </si>
  <si>
    <t>ORD010224</t>
  </si>
  <si>
    <t>ORD010225</t>
  </si>
  <si>
    <t>CUST00133</t>
  </si>
  <si>
    <t>ORD010226</t>
  </si>
  <si>
    <t>CUST00203</t>
  </si>
  <si>
    <t>ORD010227</t>
  </si>
  <si>
    <t>ORD010228</t>
  </si>
  <si>
    <t>CUST00010</t>
  </si>
  <si>
    <t>Curtains Classic</t>
  </si>
  <si>
    <t>ORD010229</t>
  </si>
  <si>
    <t>CUST00242</t>
  </si>
  <si>
    <t>ORD010230</t>
  </si>
  <si>
    <t>ORD010231</t>
  </si>
  <si>
    <t>ORD010232</t>
  </si>
  <si>
    <t>CUST00104</t>
  </si>
  <si>
    <t>ORD010233</t>
  </si>
  <si>
    <t>ORD010234</t>
  </si>
  <si>
    <t>ORD010235</t>
  </si>
  <si>
    <t>CUST00017</t>
  </si>
  <si>
    <t>ORD010236</t>
  </si>
  <si>
    <t>CUST00086</t>
  </si>
  <si>
    <t>ORD010237</t>
  </si>
  <si>
    <t>ORD010238</t>
  </si>
  <si>
    <t>CUST00018</t>
  </si>
  <si>
    <t>ORD010239</t>
  </si>
  <si>
    <t>ORD010240</t>
  </si>
  <si>
    <t>ORD010241</t>
  </si>
  <si>
    <t>CUST00246</t>
  </si>
  <si>
    <t>ORD010242</t>
  </si>
  <si>
    <t>ORD010243</t>
  </si>
  <si>
    <t>ORD010244</t>
  </si>
  <si>
    <t>CUST00294</t>
  </si>
  <si>
    <t>Lipstick Pro</t>
  </si>
  <si>
    <t>ORD010245</t>
  </si>
  <si>
    <t>ORD010246</t>
  </si>
  <si>
    <t>CUST00035</t>
  </si>
  <si>
    <t>Moisturizer Plus</t>
  </si>
  <si>
    <t>ORD010247</t>
  </si>
  <si>
    <t>ORD010248</t>
  </si>
  <si>
    <t>CUST00249</t>
  </si>
  <si>
    <t>ORD010249</t>
  </si>
  <si>
    <t>CUST00122</t>
  </si>
  <si>
    <t>ORD010250</t>
  </si>
  <si>
    <t>CUST00069</t>
  </si>
  <si>
    <t>ORD010251</t>
  </si>
  <si>
    <t>ORD010252</t>
  </si>
  <si>
    <t>CUST00102</t>
  </si>
  <si>
    <t>ORD010253</t>
  </si>
  <si>
    <t>CUST00283</t>
  </si>
  <si>
    <t>ORD010254</t>
  </si>
  <si>
    <t>CUST00116</t>
  </si>
  <si>
    <t>ORD010255</t>
  </si>
  <si>
    <t>CUST00141</t>
  </si>
  <si>
    <t>ORD010256</t>
  </si>
  <si>
    <t>ORD010257</t>
  </si>
  <si>
    <t>ORD010258</t>
  </si>
  <si>
    <t>ORD010259</t>
  </si>
  <si>
    <t>CUST00184</t>
  </si>
  <si>
    <t>ORD010260</t>
  </si>
  <si>
    <t>CUST00172</t>
  </si>
  <si>
    <t>ORD010261</t>
  </si>
  <si>
    <t>Snacks Classic</t>
  </si>
  <si>
    <t>ORD010262</t>
  </si>
  <si>
    <t>CUST00071</t>
  </si>
  <si>
    <t>ORD010263</t>
  </si>
  <si>
    <t>CUST00161</t>
  </si>
  <si>
    <t>ORD010264</t>
  </si>
  <si>
    <t>CUST00245</t>
  </si>
  <si>
    <t>ORD010265</t>
  </si>
  <si>
    <t>ORD010266</t>
  </si>
  <si>
    <t>CUST00269</t>
  </si>
  <si>
    <t>ORD010267</t>
  </si>
  <si>
    <t>CUST00109</t>
  </si>
  <si>
    <t>ORD010268</t>
  </si>
  <si>
    <t>ORD010269</t>
  </si>
  <si>
    <t>CUST00216</t>
  </si>
  <si>
    <t>ORD010270</t>
  </si>
  <si>
    <t>ORD010271</t>
  </si>
  <si>
    <t>ORD010272</t>
  </si>
  <si>
    <t>ORD010273</t>
  </si>
  <si>
    <t>CUST00005</t>
  </si>
  <si>
    <t>ORD010274</t>
  </si>
  <si>
    <t>ORD010275</t>
  </si>
  <si>
    <t>ORD010276</t>
  </si>
  <si>
    <t>ORD010277</t>
  </si>
  <si>
    <t>ORD010278</t>
  </si>
  <si>
    <t>CUST00115</t>
  </si>
  <si>
    <t>ORD010279</t>
  </si>
  <si>
    <t>ORD010280</t>
  </si>
  <si>
    <t>ORD010281</t>
  </si>
  <si>
    <t>CUST00002</t>
  </si>
  <si>
    <t>Cooker Classic</t>
  </si>
  <si>
    <t>ORD010282</t>
  </si>
  <si>
    <t>Smart Watch Lite</t>
  </si>
  <si>
    <t>ORD010283</t>
  </si>
  <si>
    <t>CUST00231</t>
  </si>
  <si>
    <t>ORD010284</t>
  </si>
  <si>
    <t>CUST00297</t>
  </si>
  <si>
    <t>ORD010285</t>
  </si>
  <si>
    <t>ORD010286</t>
  </si>
  <si>
    <t>CUST00108</t>
  </si>
  <si>
    <t>ORD010287</t>
  </si>
  <si>
    <t>ORD010288</t>
  </si>
  <si>
    <t>CUST00083</t>
  </si>
  <si>
    <t>ORD010289</t>
  </si>
  <si>
    <t>CUST00288</t>
  </si>
  <si>
    <t>ORD010290</t>
  </si>
  <si>
    <t>CUST00007</t>
  </si>
  <si>
    <t>ORD010291</t>
  </si>
  <si>
    <t>Handbag Pro</t>
  </si>
  <si>
    <t>ORD010292</t>
  </si>
  <si>
    <t>ORD010293</t>
  </si>
  <si>
    <t>CUST00267</t>
  </si>
  <si>
    <t>ORD010294</t>
  </si>
  <si>
    <t>ORD010295</t>
  </si>
  <si>
    <t>CUST00196</t>
  </si>
  <si>
    <t>ORD010296</t>
  </si>
  <si>
    <t>ORD010297</t>
  </si>
  <si>
    <t>ORD010298</t>
  </si>
  <si>
    <t>ORD010299</t>
  </si>
  <si>
    <t>ORD010300</t>
  </si>
  <si>
    <t>ORD010301</t>
  </si>
  <si>
    <t>ORD010302</t>
  </si>
  <si>
    <t>CUST00263</t>
  </si>
  <si>
    <t>ORD010303</t>
  </si>
  <si>
    <t>ORD010304</t>
  </si>
  <si>
    <t>CUST00100</t>
  </si>
  <si>
    <t>ORD010305</t>
  </si>
  <si>
    <t>ORD010306</t>
  </si>
  <si>
    <t>CUST00042</t>
  </si>
  <si>
    <t>ORD010307</t>
  </si>
  <si>
    <t>ORD010308</t>
  </si>
  <si>
    <t>ORD010309</t>
  </si>
  <si>
    <t>ORD010310</t>
  </si>
  <si>
    <t>Power Bank Max</t>
  </si>
  <si>
    <t>ORD010311</t>
  </si>
  <si>
    <t>CUST00265</t>
  </si>
  <si>
    <t>ORD010312</t>
  </si>
  <si>
    <t>ORD010313</t>
  </si>
  <si>
    <t>ORD010314</t>
  </si>
  <si>
    <t>ORD010315</t>
  </si>
  <si>
    <t>ORD010316</t>
  </si>
  <si>
    <t>CUST00268</t>
  </si>
  <si>
    <t>ORD010317</t>
  </si>
  <si>
    <t>ORD010318</t>
  </si>
  <si>
    <t>ORD010319</t>
  </si>
  <si>
    <t>CUST00296</t>
  </si>
  <si>
    <t>ORD010320</t>
  </si>
  <si>
    <t>CUST00217</t>
  </si>
  <si>
    <t>ORD010321</t>
  </si>
  <si>
    <t>ORD010322</t>
  </si>
  <si>
    <t>CUST00027</t>
  </si>
  <si>
    <t>ORD010323</t>
  </si>
  <si>
    <t>CUST00206</t>
  </si>
  <si>
    <t>ORD010324</t>
  </si>
  <si>
    <t>ORD010325</t>
  </si>
  <si>
    <t>ORD010326</t>
  </si>
  <si>
    <t>ORD010327</t>
  </si>
  <si>
    <t>CUST00132</t>
  </si>
  <si>
    <t>ORD010328</t>
  </si>
  <si>
    <t>ORD010329</t>
  </si>
  <si>
    <t>ORD010330</t>
  </si>
  <si>
    <t>ORD010331</t>
  </si>
  <si>
    <t>ORD010332</t>
  </si>
  <si>
    <t>CUST00270</t>
  </si>
  <si>
    <t>ORD010333</t>
  </si>
  <si>
    <t>ORD010334</t>
  </si>
  <si>
    <t>ORD010335</t>
  </si>
  <si>
    <t>CUST00139</t>
  </si>
  <si>
    <t>ORD010336</t>
  </si>
  <si>
    <t>ORD010337</t>
  </si>
  <si>
    <t>CUST00050</t>
  </si>
  <si>
    <t>Cooker Max</t>
  </si>
  <si>
    <t>ORD010338</t>
  </si>
  <si>
    <t>CUST00276</t>
  </si>
  <si>
    <t>ORD010339</t>
  </si>
  <si>
    <t>ORD010340</t>
  </si>
  <si>
    <t>ORD010341</t>
  </si>
  <si>
    <t>ORD010342</t>
  </si>
  <si>
    <t>ORD010343</t>
  </si>
  <si>
    <t>CUST00167</t>
  </si>
  <si>
    <t>ORD010344</t>
  </si>
  <si>
    <t>CUST00274</t>
  </si>
  <si>
    <t>ORD010345</t>
  </si>
  <si>
    <t>ORD010346</t>
  </si>
  <si>
    <t>ORD010347</t>
  </si>
  <si>
    <t>ORD010348</t>
  </si>
  <si>
    <t>ORD010349</t>
  </si>
  <si>
    <t>ORD010350</t>
  </si>
  <si>
    <t>ORD010351</t>
  </si>
  <si>
    <t>ORD010352</t>
  </si>
  <si>
    <t>ORD010353</t>
  </si>
  <si>
    <t>ORD010354</t>
  </si>
  <si>
    <t>ORD010355</t>
  </si>
  <si>
    <t>CUST00011</t>
  </si>
  <si>
    <t>ORD010356</t>
  </si>
  <si>
    <t>ORD010357</t>
  </si>
  <si>
    <t>ORD010358</t>
  </si>
  <si>
    <t>ORD010359</t>
  </si>
  <si>
    <t>ORD010360</t>
  </si>
  <si>
    <t>Face Wash Plus</t>
  </si>
  <si>
    <t>ORD010361</t>
  </si>
  <si>
    <t>ORD010362</t>
  </si>
  <si>
    <t>ORD010363</t>
  </si>
  <si>
    <t>ORD010364</t>
  </si>
  <si>
    <t>CUST00124</t>
  </si>
  <si>
    <t>ORD010365</t>
  </si>
  <si>
    <t>CUST00266</t>
  </si>
  <si>
    <t>ORD010366</t>
  </si>
  <si>
    <t>ORD010367</t>
  </si>
  <si>
    <t>CUST00040</t>
  </si>
  <si>
    <t>ORD010368</t>
  </si>
  <si>
    <t>Face Wash Lite</t>
  </si>
  <si>
    <t>ORD010369</t>
  </si>
  <si>
    <t>CUST00290</t>
  </si>
  <si>
    <t>ORD010370</t>
  </si>
  <si>
    <t>ORD010371</t>
  </si>
  <si>
    <t>ORD010372</t>
  </si>
  <si>
    <t>ORD010373</t>
  </si>
  <si>
    <t>ORD010374</t>
  </si>
  <si>
    <t>ORD010375</t>
  </si>
  <si>
    <t>ORD010376</t>
  </si>
  <si>
    <t>ORD010377</t>
  </si>
  <si>
    <t>ORD010378</t>
  </si>
  <si>
    <t>ORD010379</t>
  </si>
  <si>
    <t>CUST00285</t>
  </si>
  <si>
    <t>ORD010380</t>
  </si>
  <si>
    <t>ORD010381</t>
  </si>
  <si>
    <t>ORD010382</t>
  </si>
  <si>
    <t>ORD010383</t>
  </si>
  <si>
    <t>ORD010384</t>
  </si>
  <si>
    <t>ORD010385</t>
  </si>
  <si>
    <t>ORD010386</t>
  </si>
  <si>
    <t>ORD010387</t>
  </si>
  <si>
    <t>ORD010388</t>
  </si>
  <si>
    <t>CUST00028</t>
  </si>
  <si>
    <t>ORD010389</t>
  </si>
  <si>
    <t>ORD010390</t>
  </si>
  <si>
    <t>ORD010391</t>
  </si>
  <si>
    <t>ORD010392</t>
  </si>
  <si>
    <t>ORD010393</t>
  </si>
  <si>
    <t>CUST00233</t>
  </si>
  <si>
    <t>ORD010394</t>
  </si>
  <si>
    <t>ORD010395</t>
  </si>
  <si>
    <t>ORD010396</t>
  </si>
  <si>
    <t>ORD010397</t>
  </si>
  <si>
    <t>CUST00271</t>
  </si>
  <si>
    <t>ORD010398</t>
  </si>
  <si>
    <t>ORD010399</t>
  </si>
  <si>
    <t>CUST00213</t>
  </si>
  <si>
    <t>ORD010400</t>
  </si>
  <si>
    <t>ORD010401</t>
  </si>
  <si>
    <t>CUST00070</t>
  </si>
  <si>
    <t>ORD010402</t>
  </si>
  <si>
    <t>ORD010403</t>
  </si>
  <si>
    <t>ORD010404</t>
  </si>
  <si>
    <t>ORD010405</t>
  </si>
  <si>
    <t>ORD010406</t>
  </si>
  <si>
    <t>CUST00060</t>
  </si>
  <si>
    <t>ORD010407</t>
  </si>
  <si>
    <t>CUST00160</t>
  </si>
  <si>
    <t>ORD010408</t>
  </si>
  <si>
    <t>ORD010409</t>
  </si>
  <si>
    <t>ORD010410</t>
  </si>
  <si>
    <t>CUST00229</t>
  </si>
  <si>
    <t>ORD010411</t>
  </si>
  <si>
    <t>CUST00240</t>
  </si>
  <si>
    <t>ORD010412</t>
  </si>
  <si>
    <t>ORD010413</t>
  </si>
  <si>
    <t>CUST00053</t>
  </si>
  <si>
    <t>ORD010414</t>
  </si>
  <si>
    <t>CUST00197</t>
  </si>
  <si>
    <t>ORD010415</t>
  </si>
  <si>
    <t>ORD010416</t>
  </si>
  <si>
    <t>ORD010417</t>
  </si>
  <si>
    <t>ORD010418</t>
  </si>
  <si>
    <t>ORD010419</t>
  </si>
  <si>
    <t>ORD010420</t>
  </si>
  <si>
    <t>CUST00065</t>
  </si>
  <si>
    <t>ORD010421</t>
  </si>
  <si>
    <t>ORD010422</t>
  </si>
  <si>
    <t>ORD010423</t>
  </si>
  <si>
    <t>ORD010424</t>
  </si>
  <si>
    <t>ORD010425</t>
  </si>
  <si>
    <t>ORD010426</t>
  </si>
  <si>
    <t>ORD010427</t>
  </si>
  <si>
    <t>ORD010428</t>
  </si>
  <si>
    <t>ORD010429</t>
  </si>
  <si>
    <t>CUST00273</t>
  </si>
  <si>
    <t>ORD010430</t>
  </si>
  <si>
    <t>ORD010431</t>
  </si>
  <si>
    <t>ORD010432</t>
  </si>
  <si>
    <t>CUST00054</t>
  </si>
  <si>
    <t>ORD010433</t>
  </si>
  <si>
    <t>CUST00063</t>
  </si>
  <si>
    <t>ORD010434</t>
  </si>
  <si>
    <t>ORD010435</t>
  </si>
  <si>
    <t>CUST00036</t>
  </si>
  <si>
    <t>ORD010436</t>
  </si>
  <si>
    <t>ORD010437</t>
  </si>
  <si>
    <t>CUST00169</t>
  </si>
  <si>
    <t>ORD010438</t>
  </si>
  <si>
    <t>ORD010439</t>
  </si>
  <si>
    <t>CUST00091</t>
  </si>
  <si>
    <t>ORD010440</t>
  </si>
  <si>
    <t>ORD010441</t>
  </si>
  <si>
    <t>ORD010442</t>
  </si>
  <si>
    <t>ORD010443</t>
  </si>
  <si>
    <t>ORD010444</t>
  </si>
  <si>
    <t>ORD010445</t>
  </si>
  <si>
    <t>CUST00225</t>
  </si>
  <si>
    <t>ORD010446</t>
  </si>
  <si>
    <t>ORD010447</t>
  </si>
  <si>
    <t>ORD010448</t>
  </si>
  <si>
    <t>CUST00260</t>
  </si>
  <si>
    <t>ORD010449</t>
  </si>
  <si>
    <t>CUST00187</t>
  </si>
  <si>
    <t>ORD010450</t>
  </si>
  <si>
    <t>CUST00264</t>
  </si>
  <si>
    <t>ORD010451</t>
  </si>
  <si>
    <t>ORD010452</t>
  </si>
  <si>
    <t>ORD010453</t>
  </si>
  <si>
    <t>CUST00239</t>
  </si>
  <si>
    <t>ORD010454</t>
  </si>
  <si>
    <t>CUST00045</t>
  </si>
  <si>
    <t>ORD010455</t>
  </si>
  <si>
    <t>CUST00114</t>
  </si>
  <si>
    <t>ORD010456</t>
  </si>
  <si>
    <t>ORD010457</t>
  </si>
  <si>
    <t>CUST00157</t>
  </si>
  <si>
    <t>ORD010458</t>
  </si>
  <si>
    <t>CUST00001</t>
  </si>
  <si>
    <t>ORD010459</t>
  </si>
  <si>
    <t>ORD010460</t>
  </si>
  <si>
    <t>ORD010461</t>
  </si>
  <si>
    <t>ORD010462</t>
  </si>
  <si>
    <t>ORD010463</t>
  </si>
  <si>
    <t>ORD010464</t>
  </si>
  <si>
    <t>ORD010465</t>
  </si>
  <si>
    <t>ORD010466</t>
  </si>
  <si>
    <t>ORD010467</t>
  </si>
  <si>
    <t>ORD010468</t>
  </si>
  <si>
    <t>ORD010469</t>
  </si>
  <si>
    <t>ORD010470</t>
  </si>
  <si>
    <t>ORD010471</t>
  </si>
  <si>
    <t>ORD010472</t>
  </si>
  <si>
    <t>ORD010473</t>
  </si>
  <si>
    <t>ORD010474</t>
  </si>
  <si>
    <t>ORD010475</t>
  </si>
  <si>
    <t>ORD010476</t>
  </si>
  <si>
    <t>ORD010477</t>
  </si>
  <si>
    <t>ORD010478</t>
  </si>
  <si>
    <t>ORD010479</t>
  </si>
  <si>
    <t>ORD010480</t>
  </si>
  <si>
    <t>ORD010481</t>
  </si>
  <si>
    <t>ORD010482</t>
  </si>
  <si>
    <t>ORD010483</t>
  </si>
  <si>
    <t>ORD010484</t>
  </si>
  <si>
    <t>ORD010485</t>
  </si>
  <si>
    <t>ORD010486</t>
  </si>
  <si>
    <t>ORD010487</t>
  </si>
  <si>
    <t>ORD010488</t>
  </si>
  <si>
    <t>CUST00253</t>
  </si>
  <si>
    <t>ORD010489</t>
  </si>
  <si>
    <t>ORD010490</t>
  </si>
  <si>
    <t>ORD010491</t>
  </si>
  <si>
    <t>ORD010492</t>
  </si>
  <si>
    <t>ORD010493</t>
  </si>
  <si>
    <t>ORD010494</t>
  </si>
  <si>
    <t>ORD010495</t>
  </si>
  <si>
    <t>ORD010496</t>
  </si>
  <si>
    <t>ORD010497</t>
  </si>
  <si>
    <t>ORD010498</t>
  </si>
  <si>
    <t>CUST00044</t>
  </si>
  <si>
    <t>ORD010499</t>
  </si>
  <si>
    <t>ORD010500</t>
  </si>
  <si>
    <t>ORD010501</t>
  </si>
  <si>
    <t>ORD010502</t>
  </si>
  <si>
    <t>ORD010503</t>
  </si>
  <si>
    <t>ORD010504</t>
  </si>
  <si>
    <t>ORD010505</t>
  </si>
  <si>
    <t>ORD010506</t>
  </si>
  <si>
    <t>ORD010507</t>
  </si>
  <si>
    <t>CUST00029</t>
  </si>
  <si>
    <t>ORD010508</t>
  </si>
  <si>
    <t>ORD010509</t>
  </si>
  <si>
    <t>ORD010510</t>
  </si>
  <si>
    <t>ORD010511</t>
  </si>
  <si>
    <t>ORD010512</t>
  </si>
  <si>
    <t>ORD010513</t>
  </si>
  <si>
    <t>ORD010514</t>
  </si>
  <si>
    <t>ORD010515</t>
  </si>
  <si>
    <t>ORD010516</t>
  </si>
  <si>
    <t>Dal Pro</t>
  </si>
  <si>
    <t>ORD010517</t>
  </si>
  <si>
    <t>ORD010518</t>
  </si>
  <si>
    <t>ORD010519</t>
  </si>
  <si>
    <t>ORD010520</t>
  </si>
  <si>
    <t>ORD010521</t>
  </si>
  <si>
    <t>CUST00024</t>
  </si>
  <si>
    <t>ORD010522</t>
  </si>
  <si>
    <t>T-Shirt Max</t>
  </si>
  <si>
    <t>ORD010523</t>
  </si>
  <si>
    <t>ORD010524</t>
  </si>
  <si>
    <t>CUST00226</t>
  </si>
  <si>
    <t>ORD010525</t>
  </si>
  <si>
    <t>ORD010526</t>
  </si>
  <si>
    <t>ORD010527</t>
  </si>
  <si>
    <t>CUST00049</t>
  </si>
  <si>
    <t>ORD010528</t>
  </si>
  <si>
    <t>ORD010529</t>
  </si>
  <si>
    <t>ORD010530</t>
  </si>
  <si>
    <t>ORD010531</t>
  </si>
  <si>
    <t>ORD010532</t>
  </si>
  <si>
    <t>ORD010533</t>
  </si>
  <si>
    <t>ORD010534</t>
  </si>
  <si>
    <t>CUST00130</t>
  </si>
  <si>
    <t>ORD010535</t>
  </si>
  <si>
    <t>ORD010536</t>
  </si>
  <si>
    <t>ORD010537</t>
  </si>
  <si>
    <t>ORD010538</t>
  </si>
  <si>
    <t>ORD010539</t>
  </si>
  <si>
    <t>CUST00228</t>
  </si>
  <si>
    <t>ORD010540</t>
  </si>
  <si>
    <t>ORD010541</t>
  </si>
  <si>
    <t>CUST00119</t>
  </si>
  <si>
    <t>ORD010542</t>
  </si>
  <si>
    <t>ORD010543</t>
  </si>
  <si>
    <t>ORD010544</t>
  </si>
  <si>
    <t>ORD010545</t>
  </si>
  <si>
    <t>ORD010546</t>
  </si>
  <si>
    <t>ORD010547</t>
  </si>
  <si>
    <t>ORD010548</t>
  </si>
  <si>
    <t>ORD010549</t>
  </si>
  <si>
    <t>ORD010550</t>
  </si>
  <si>
    <t>ORD010551</t>
  </si>
  <si>
    <t>ORD010552</t>
  </si>
  <si>
    <t>ORD010553</t>
  </si>
  <si>
    <t>ORD010554</t>
  </si>
  <si>
    <t>ORD010555</t>
  </si>
  <si>
    <t>ORD010556</t>
  </si>
  <si>
    <t>CUST00120</t>
  </si>
  <si>
    <t>ORD010557</t>
  </si>
  <si>
    <t>ORD010558</t>
  </si>
  <si>
    <t>ORD010559</t>
  </si>
  <si>
    <t>ORD010560</t>
  </si>
  <si>
    <t>CUST00210</t>
  </si>
  <si>
    <t>ORD010561</t>
  </si>
  <si>
    <t>ORD010562</t>
  </si>
  <si>
    <t>ORD010563</t>
  </si>
  <si>
    <t>ORD010564</t>
  </si>
  <si>
    <t>ORD010565</t>
  </si>
  <si>
    <t>ORD010566</t>
  </si>
  <si>
    <t>ORD010567</t>
  </si>
  <si>
    <t>ORD010568</t>
  </si>
  <si>
    <t>CUST00087</t>
  </si>
  <si>
    <t>ORD010569</t>
  </si>
  <si>
    <t>ORD010570</t>
  </si>
  <si>
    <t>ORD010571</t>
  </si>
  <si>
    <t>CUST00043</t>
  </si>
  <si>
    <t>ORD010572</t>
  </si>
  <si>
    <t>CUST00149</t>
  </si>
  <si>
    <t>ORD010573</t>
  </si>
  <si>
    <t>ORD010574</t>
  </si>
  <si>
    <t>CUST00176</t>
  </si>
  <si>
    <t>ORD010575</t>
  </si>
  <si>
    <t>ORD010576</t>
  </si>
  <si>
    <t>ORD010577</t>
  </si>
  <si>
    <t>ORD010578</t>
  </si>
  <si>
    <t>ORD010579</t>
  </si>
  <si>
    <t>CUST00066</t>
  </si>
  <si>
    <t>ORD010580</t>
  </si>
  <si>
    <t>ORD010581</t>
  </si>
  <si>
    <t>ORD010582</t>
  </si>
  <si>
    <t>ORD010583</t>
  </si>
  <si>
    <t>ORD010584</t>
  </si>
  <si>
    <t>ORD010585</t>
  </si>
  <si>
    <t>ORD010586</t>
  </si>
  <si>
    <t>ORD010587</t>
  </si>
  <si>
    <t>ORD010588</t>
  </si>
  <si>
    <t>ORD010589</t>
  </si>
  <si>
    <t>ORD010590</t>
  </si>
  <si>
    <t>ORD010591</t>
  </si>
  <si>
    <t>ORD010592</t>
  </si>
  <si>
    <t>ORD010593</t>
  </si>
  <si>
    <t>ORD010594</t>
  </si>
  <si>
    <t>ORD010595</t>
  </si>
  <si>
    <t>ORD010596</t>
  </si>
  <si>
    <t>CUST00097</t>
  </si>
  <si>
    <t>ORD010597</t>
  </si>
  <si>
    <t>ORD010598</t>
  </si>
  <si>
    <t>CUST00138</t>
  </si>
  <si>
    <t>ORD010599</t>
  </si>
  <si>
    <t>ORD010600</t>
  </si>
  <si>
    <t>ORD010601</t>
  </si>
  <si>
    <t>ORD010602</t>
  </si>
  <si>
    <t>CUST00129</t>
  </si>
  <si>
    <t>ORD010603</t>
  </si>
  <si>
    <t>ORD010604</t>
  </si>
  <si>
    <t>ORD010605</t>
  </si>
  <si>
    <t>ORD010606</t>
  </si>
  <si>
    <t>CUST00291</t>
  </si>
  <si>
    <t>ORD010607</t>
  </si>
  <si>
    <t>ORD010608</t>
  </si>
  <si>
    <t>ORD010609</t>
  </si>
  <si>
    <t>ORD010610</t>
  </si>
  <si>
    <t>ORD010611</t>
  </si>
  <si>
    <t>CUST00234</t>
  </si>
  <si>
    <t>ORD010612</t>
  </si>
  <si>
    <t>CUST00292</t>
  </si>
  <si>
    <t>ORD010613</t>
  </si>
  <si>
    <t>ORD010614</t>
  </si>
  <si>
    <t>ORD010615</t>
  </si>
  <si>
    <t>ORD010616</t>
  </si>
  <si>
    <t>ORD010617</t>
  </si>
  <si>
    <t>ORD010618</t>
  </si>
  <si>
    <t>ORD010619</t>
  </si>
  <si>
    <t>ORD010620</t>
  </si>
  <si>
    <t>ORD010621</t>
  </si>
  <si>
    <t>ORD010622</t>
  </si>
  <si>
    <t>ORD010623</t>
  </si>
  <si>
    <t>ORD010624</t>
  </si>
  <si>
    <t>ORD010625</t>
  </si>
  <si>
    <t>CUST00148</t>
  </si>
  <si>
    <t>ORD010626</t>
  </si>
  <si>
    <t>ORD010627</t>
  </si>
  <si>
    <t>ORD010628</t>
  </si>
  <si>
    <t>ORD010629</t>
  </si>
  <si>
    <t>ORD010630</t>
  </si>
  <si>
    <t>ORD010631</t>
  </si>
  <si>
    <t>CUST00208</t>
  </si>
  <si>
    <t>ORD010632</t>
  </si>
  <si>
    <t>ORD010633</t>
  </si>
  <si>
    <t>ORD010634</t>
  </si>
  <si>
    <t>ORD010635</t>
  </si>
  <si>
    <t>ORD010636</t>
  </si>
  <si>
    <t>ORD010637</t>
  </si>
  <si>
    <t>CUST00057</t>
  </si>
  <si>
    <t>ORD010638</t>
  </si>
  <si>
    <t>ORD010639</t>
  </si>
  <si>
    <t>ORD010640</t>
  </si>
  <si>
    <t>ORD010641</t>
  </si>
  <si>
    <t>ORD010642</t>
  </si>
  <si>
    <t>ORD010643</t>
  </si>
  <si>
    <t>ORD010644</t>
  </si>
  <si>
    <t>ORD010645</t>
  </si>
  <si>
    <t>ORD010646</t>
  </si>
  <si>
    <t>CUST00171</t>
  </si>
  <si>
    <t>ORD010647</t>
  </si>
  <si>
    <t>ORD010648</t>
  </si>
  <si>
    <t>ORD010649</t>
  </si>
  <si>
    <t>CUST00162</t>
  </si>
  <si>
    <t>ORD010650</t>
  </si>
  <si>
    <t>ORD010651</t>
  </si>
  <si>
    <t>ORD010652</t>
  </si>
  <si>
    <t>CUST00201</t>
  </si>
  <si>
    <t>ORD010653</t>
  </si>
  <si>
    <t>ORD010654</t>
  </si>
  <si>
    <t>ORD010655</t>
  </si>
  <si>
    <t>ORD010656</t>
  </si>
  <si>
    <t>CUST00046</t>
  </si>
  <si>
    <t>ORD010657</t>
  </si>
  <si>
    <t>ORD010658</t>
  </si>
  <si>
    <t>ORD010659</t>
  </si>
  <si>
    <t>CUST00093</t>
  </si>
  <si>
    <t>Spices Max</t>
  </si>
  <si>
    <t>ORD010660</t>
  </si>
  <si>
    <t>ORD010661</t>
  </si>
  <si>
    <t>ORD010662</t>
  </si>
  <si>
    <t>CUST00111</t>
  </si>
  <si>
    <t>ORD010663</t>
  </si>
  <si>
    <t>ORD010664</t>
  </si>
  <si>
    <t>ORD010665</t>
  </si>
  <si>
    <t>ORD010666</t>
  </si>
  <si>
    <t>ORD010667</t>
  </si>
  <si>
    <t>ORD010668</t>
  </si>
  <si>
    <t>ORD010669</t>
  </si>
  <si>
    <t>CUST00182</t>
  </si>
  <si>
    <t>ORD010670</t>
  </si>
  <si>
    <t>ORD010671</t>
  </si>
  <si>
    <t>ORD010672</t>
  </si>
  <si>
    <t>ORD010673</t>
  </si>
  <si>
    <t>ORD010674</t>
  </si>
  <si>
    <t>ORD010675</t>
  </si>
  <si>
    <t>ORD010676</t>
  </si>
  <si>
    <t>ORD010677</t>
  </si>
  <si>
    <t>ORD010678</t>
  </si>
  <si>
    <t>ORD010679</t>
  </si>
  <si>
    <t>ORD010680</t>
  </si>
  <si>
    <t>ORD010681</t>
  </si>
  <si>
    <t>ORD010682</t>
  </si>
  <si>
    <t>CUST00020</t>
  </si>
  <si>
    <t>ORD010683</t>
  </si>
  <si>
    <t>ORD010684</t>
  </si>
  <si>
    <t>ORD010685</t>
  </si>
  <si>
    <t>ORD010686</t>
  </si>
  <si>
    <t>ORD010687</t>
  </si>
  <si>
    <t>ORD010688</t>
  </si>
  <si>
    <t>ORD010689</t>
  </si>
  <si>
    <t>ORD010690</t>
  </si>
  <si>
    <t>ORD010691</t>
  </si>
  <si>
    <t>ORD010692</t>
  </si>
  <si>
    <t>ORD010693</t>
  </si>
  <si>
    <t>ORD010694</t>
  </si>
  <si>
    <t>ORD010695</t>
  </si>
  <si>
    <t>ORD010696</t>
  </si>
  <si>
    <t>ORD010697</t>
  </si>
  <si>
    <t>ORD010698</t>
  </si>
  <si>
    <t>ORD010699</t>
  </si>
  <si>
    <t>ORD010700</t>
  </si>
  <si>
    <t>ORD010701</t>
  </si>
  <si>
    <t>ORD010702</t>
  </si>
  <si>
    <t>ORD010703</t>
  </si>
  <si>
    <t>ORD010704</t>
  </si>
  <si>
    <t>ORD010705</t>
  </si>
  <si>
    <t>ORD010706</t>
  </si>
  <si>
    <t>ORD010707</t>
  </si>
  <si>
    <t>ORD010708</t>
  </si>
  <si>
    <t>ORD010709</t>
  </si>
  <si>
    <t>ORD010710</t>
  </si>
  <si>
    <t>ORD010711</t>
  </si>
  <si>
    <t>ORD010712</t>
  </si>
  <si>
    <t>ORD010713</t>
  </si>
  <si>
    <t>ORD010714</t>
  </si>
  <si>
    <t>ORD010715</t>
  </si>
  <si>
    <t>ORD010716</t>
  </si>
  <si>
    <t>ORD010717</t>
  </si>
  <si>
    <t>ORD010718</t>
  </si>
  <si>
    <t>ORD010719</t>
  </si>
  <si>
    <t>ORD010720</t>
  </si>
  <si>
    <t>ORD010721</t>
  </si>
  <si>
    <t>ORD010722</t>
  </si>
  <si>
    <t>ORD010723</t>
  </si>
  <si>
    <t>ORD010724</t>
  </si>
  <si>
    <t>CUST00012</t>
  </si>
  <si>
    <t>ORD010725</t>
  </si>
  <si>
    <t>ORD010726</t>
  </si>
  <si>
    <t>ORD010727</t>
  </si>
  <si>
    <t>ORD010728</t>
  </si>
  <si>
    <t>ORD010729</t>
  </si>
  <si>
    <t>ORD010730</t>
  </si>
  <si>
    <t>CUST00219</t>
  </si>
  <si>
    <t>ORD010731</t>
  </si>
  <si>
    <t>ORD010732</t>
  </si>
  <si>
    <t>ORD010733</t>
  </si>
  <si>
    <t>ORD010734</t>
  </si>
  <si>
    <t>ORD010735</t>
  </si>
  <si>
    <t>ORD010736</t>
  </si>
  <si>
    <t>ORD010737</t>
  </si>
  <si>
    <t>ORD010738</t>
  </si>
  <si>
    <t>ORD010739</t>
  </si>
  <si>
    <t>ORD010740</t>
  </si>
  <si>
    <t>ORD010741</t>
  </si>
  <si>
    <t>ORD010742</t>
  </si>
  <si>
    <t>ORD010743</t>
  </si>
  <si>
    <t>ORD010744</t>
  </si>
  <si>
    <t>ORD010745</t>
  </si>
  <si>
    <t>ORD010746</t>
  </si>
  <si>
    <t>ORD010747</t>
  </si>
  <si>
    <t>ORD010748</t>
  </si>
  <si>
    <t>ORD010749</t>
  </si>
  <si>
    <t>ORD010750</t>
  </si>
  <si>
    <t>ORD010751</t>
  </si>
  <si>
    <t>ORD010752</t>
  </si>
  <si>
    <t>ORD010753</t>
  </si>
  <si>
    <t>ORD010754</t>
  </si>
  <si>
    <t>ORD010755</t>
  </si>
  <si>
    <t>ORD010756</t>
  </si>
  <si>
    <t>ORD010757</t>
  </si>
  <si>
    <t>ORD010758</t>
  </si>
  <si>
    <t>ORD010759</t>
  </si>
  <si>
    <t>ORD010760</t>
  </si>
  <si>
    <t>ORD010761</t>
  </si>
  <si>
    <t>ORD010762</t>
  </si>
  <si>
    <t>ORD010763</t>
  </si>
  <si>
    <t>ORD010764</t>
  </si>
  <si>
    <t>ORD010765</t>
  </si>
  <si>
    <t>ORD010766</t>
  </si>
  <si>
    <t>ORD010767</t>
  </si>
  <si>
    <t>CUST00185</t>
  </si>
  <si>
    <t>ORD010768</t>
  </si>
  <si>
    <t>ORD010769</t>
  </si>
  <si>
    <t>ORD010770</t>
  </si>
  <si>
    <t>CUST00145</t>
  </si>
  <si>
    <t>ORD010771</t>
  </si>
  <si>
    <t>ORD010772</t>
  </si>
  <si>
    <t>ORD010773</t>
  </si>
  <si>
    <t>ORD010774</t>
  </si>
  <si>
    <t>ORD010775</t>
  </si>
  <si>
    <t>ORD010776</t>
  </si>
  <si>
    <t>ORD010777</t>
  </si>
  <si>
    <t>ORD010778</t>
  </si>
  <si>
    <t>ORD010779</t>
  </si>
  <si>
    <t>ORD010780</t>
  </si>
  <si>
    <t>ORD010781</t>
  </si>
  <si>
    <t>ORD010782</t>
  </si>
  <si>
    <t>ORD010783</t>
  </si>
  <si>
    <t>ORD010784</t>
  </si>
  <si>
    <t>ORD010785</t>
  </si>
  <si>
    <t>ORD010786</t>
  </si>
  <si>
    <t>CUST00207</t>
  </si>
  <si>
    <t>ORD010787</t>
  </si>
  <si>
    <t>ORD010788</t>
  </si>
  <si>
    <t>ORD010789</t>
  </si>
  <si>
    <t>ORD010790</t>
  </si>
  <si>
    <t>ORD010791</t>
  </si>
  <si>
    <t>ORD010792</t>
  </si>
  <si>
    <t>ORD010793</t>
  </si>
  <si>
    <t>ORD010794</t>
  </si>
  <si>
    <t>ORD010795</t>
  </si>
  <si>
    <t>ORD010796</t>
  </si>
  <si>
    <t>ORD010797</t>
  </si>
  <si>
    <t>ORD010798</t>
  </si>
  <si>
    <t>CUST00117</t>
  </si>
  <si>
    <t>ORD010799</t>
  </si>
  <si>
    <t>ORD010800</t>
  </si>
  <si>
    <t>CUST00113</t>
  </si>
  <si>
    <t>ORD010801</t>
  </si>
  <si>
    <t>ORD010802</t>
  </si>
  <si>
    <t>ORD010803</t>
  </si>
  <si>
    <t>ORD010804</t>
  </si>
  <si>
    <t>ORD010805</t>
  </si>
  <si>
    <t>ORD010806</t>
  </si>
  <si>
    <t>ORD010807</t>
  </si>
  <si>
    <t>ORD010808</t>
  </si>
  <si>
    <t>ORD010809</t>
  </si>
  <si>
    <t>ORD010810</t>
  </si>
  <si>
    <t>ORD010811</t>
  </si>
  <si>
    <t>ORD010812</t>
  </si>
  <si>
    <t>ORD010813</t>
  </si>
  <si>
    <t>ORD010814</t>
  </si>
  <si>
    <t>ORD010815</t>
  </si>
  <si>
    <t>ORD010816</t>
  </si>
  <si>
    <t>ORD010817</t>
  </si>
  <si>
    <t>ORD010818</t>
  </si>
  <si>
    <t>ORD010819</t>
  </si>
  <si>
    <t>ORD010820</t>
  </si>
  <si>
    <t>ORD010821</t>
  </si>
  <si>
    <t>ORD010822</t>
  </si>
  <si>
    <t>ORD010823</t>
  </si>
  <si>
    <t>ORD010824</t>
  </si>
  <si>
    <t>ORD010825</t>
  </si>
  <si>
    <t>ORD010826</t>
  </si>
  <si>
    <t>ORD010827</t>
  </si>
  <si>
    <t>ORD010828</t>
  </si>
  <si>
    <t>ORD010829</t>
  </si>
  <si>
    <t>ORD010830</t>
  </si>
  <si>
    <t>ORD010831</t>
  </si>
  <si>
    <t>ORD010832</t>
  </si>
  <si>
    <t>ORD010833</t>
  </si>
  <si>
    <t>ORD010834</t>
  </si>
  <si>
    <t>ORD010835</t>
  </si>
  <si>
    <t>ORD010836</t>
  </si>
  <si>
    <t>ORD010837</t>
  </si>
  <si>
    <t>ORD010838</t>
  </si>
  <si>
    <t>ORD010839</t>
  </si>
  <si>
    <t>ORD010840</t>
  </si>
  <si>
    <t>ORD010841</t>
  </si>
  <si>
    <t>ORD010842</t>
  </si>
  <si>
    <t>ORD010843</t>
  </si>
  <si>
    <t>ORD010844</t>
  </si>
  <si>
    <t>ORD010845</t>
  </si>
  <si>
    <t>ORD010846</t>
  </si>
  <si>
    <t>ORD010847</t>
  </si>
  <si>
    <t>ORD010848</t>
  </si>
  <si>
    <t>ORD010849</t>
  </si>
  <si>
    <t>ORD010850</t>
  </si>
  <si>
    <t>ORD010851</t>
  </si>
  <si>
    <t>ORD010852</t>
  </si>
  <si>
    <t>ORD010853</t>
  </si>
  <si>
    <t>ORD010854</t>
  </si>
  <si>
    <t>ORD010855</t>
  </si>
  <si>
    <t>ORD010856</t>
  </si>
  <si>
    <t>ORD010857</t>
  </si>
  <si>
    <t>ORD010858</t>
  </si>
  <si>
    <t>ORD010859</t>
  </si>
  <si>
    <t>ORD010860</t>
  </si>
  <si>
    <t>ORD010861</t>
  </si>
  <si>
    <t>ORD010862</t>
  </si>
  <si>
    <t>ORD010863</t>
  </si>
  <si>
    <t>ORD010864</t>
  </si>
  <si>
    <t>ORD010865</t>
  </si>
  <si>
    <t>ORD010866</t>
  </si>
  <si>
    <t>ORD010867</t>
  </si>
  <si>
    <t>ORD010868</t>
  </si>
  <si>
    <t>ORD010869</t>
  </si>
  <si>
    <t>CUST00096</t>
  </si>
  <si>
    <t>ORD010870</t>
  </si>
  <si>
    <t>ORD010871</t>
  </si>
  <si>
    <t>ORD010872</t>
  </si>
  <si>
    <t>ORD010873</t>
  </si>
  <si>
    <t>ORD010874</t>
  </si>
  <si>
    <t>CUST00199</t>
  </si>
  <si>
    <t>ORD010875</t>
  </si>
  <si>
    <t>ORD010876</t>
  </si>
  <si>
    <t>ORD010877</t>
  </si>
  <si>
    <t>ORD010878</t>
  </si>
  <si>
    <t>ORD010879</t>
  </si>
  <si>
    <t>ORD010880</t>
  </si>
  <si>
    <t>ORD010881</t>
  </si>
  <si>
    <t>ORD010882</t>
  </si>
  <si>
    <t>ORD010883</t>
  </si>
  <si>
    <t>CUST00125</t>
  </si>
  <si>
    <t>ORD010884</t>
  </si>
  <si>
    <t>ORD010885</t>
  </si>
  <si>
    <t>ORD010886</t>
  </si>
  <si>
    <t>ORD010887</t>
  </si>
  <si>
    <t>ORD010888</t>
  </si>
  <si>
    <t>ORD010889</t>
  </si>
  <si>
    <t>CUST00293</t>
  </si>
  <si>
    <t>ORD010890</t>
  </si>
  <si>
    <t>ORD010891</t>
  </si>
  <si>
    <t>ORD010892</t>
  </si>
  <si>
    <t>ORD010893</t>
  </si>
  <si>
    <t>ORD010894</t>
  </si>
  <si>
    <t>ORD010895</t>
  </si>
  <si>
    <t>ORD010896</t>
  </si>
  <si>
    <t>ORD010897</t>
  </si>
  <si>
    <t>ORD010898</t>
  </si>
  <si>
    <t>ORD010899</t>
  </si>
  <si>
    <t>ORD010900</t>
  </si>
  <si>
    <t>ORD010901</t>
  </si>
  <si>
    <t>ORD010902</t>
  </si>
  <si>
    <t>ORD010903</t>
  </si>
  <si>
    <t>ORD010904</t>
  </si>
  <si>
    <t>ORD010905</t>
  </si>
  <si>
    <t>ORD010906</t>
  </si>
  <si>
    <t>ORD010907</t>
  </si>
  <si>
    <t>ORD010908</t>
  </si>
  <si>
    <t>ORD010909</t>
  </si>
  <si>
    <t>ORD010910</t>
  </si>
  <si>
    <t>ORD010911</t>
  </si>
  <si>
    <t>ORD010912</t>
  </si>
  <si>
    <t>ORD010913</t>
  </si>
  <si>
    <t>ORD010914</t>
  </si>
  <si>
    <t>ORD010915</t>
  </si>
  <si>
    <t>ORD010916</t>
  </si>
  <si>
    <t>CUST00135</t>
  </si>
  <si>
    <t>ORD010917</t>
  </si>
  <si>
    <t>ORD010918</t>
  </si>
  <si>
    <t>ORD010919</t>
  </si>
  <si>
    <t>CUST00200</t>
  </si>
  <si>
    <t>ORD010920</t>
  </si>
  <si>
    <t>ORD010921</t>
  </si>
  <si>
    <t>ORD010922</t>
  </si>
  <si>
    <t>ORD010923</t>
  </si>
  <si>
    <t>ORD010924</t>
  </si>
  <si>
    <t>ORD010925</t>
  </si>
  <si>
    <t>ORD010926</t>
  </si>
  <si>
    <t>ORD010927</t>
  </si>
  <si>
    <t>ORD010928</t>
  </si>
  <si>
    <t>ORD010929</t>
  </si>
  <si>
    <t>ORD010930</t>
  </si>
  <si>
    <t>ORD010931</t>
  </si>
  <si>
    <t>ORD010932</t>
  </si>
  <si>
    <t>ORD010933</t>
  </si>
  <si>
    <t>ORD010934</t>
  </si>
  <si>
    <t>ORD010935</t>
  </si>
  <si>
    <t>ORD010936</t>
  </si>
  <si>
    <t>ORD010937</t>
  </si>
  <si>
    <t>ORD010938</t>
  </si>
  <si>
    <t>ORD010939</t>
  </si>
  <si>
    <t>ORD010940</t>
  </si>
  <si>
    <t>ORD010941</t>
  </si>
  <si>
    <t>ORD010942</t>
  </si>
  <si>
    <t>ORD010943</t>
  </si>
  <si>
    <t>ORD010944</t>
  </si>
  <si>
    <t>ORD010945</t>
  </si>
  <si>
    <t>ORD010946</t>
  </si>
  <si>
    <t>ORD010947</t>
  </si>
  <si>
    <t>ORD010948</t>
  </si>
  <si>
    <t>ORD010949</t>
  </si>
  <si>
    <t>ORD010950</t>
  </si>
  <si>
    <t>ORD010951</t>
  </si>
  <si>
    <t>ORD010952</t>
  </si>
  <si>
    <t>ORD010953</t>
  </si>
  <si>
    <t>ORD010954</t>
  </si>
  <si>
    <t>ORD010955</t>
  </si>
  <si>
    <t>ORD010956</t>
  </si>
  <si>
    <t>ORD010957</t>
  </si>
  <si>
    <t>ORD010958</t>
  </si>
  <si>
    <t>ORD010959</t>
  </si>
  <si>
    <t>ORD010960</t>
  </si>
  <si>
    <t>ORD010961</t>
  </si>
  <si>
    <t>ORD010962</t>
  </si>
  <si>
    <t>ORD010963</t>
  </si>
  <si>
    <t>CUST00298</t>
  </si>
  <si>
    <t>ORD010964</t>
  </si>
  <si>
    <t>ORD010965</t>
  </si>
  <si>
    <t>ORD010966</t>
  </si>
  <si>
    <t>ORD010967</t>
  </si>
  <si>
    <t>ORD010968</t>
  </si>
  <si>
    <t>ORD010969</t>
  </si>
  <si>
    <t>ORD010970</t>
  </si>
  <si>
    <t>ORD010971</t>
  </si>
  <si>
    <t>ORD010972</t>
  </si>
  <si>
    <t>ORD010973</t>
  </si>
  <si>
    <t>ORD010974</t>
  </si>
  <si>
    <t>ORD010975</t>
  </si>
  <si>
    <t>ORD010976</t>
  </si>
  <si>
    <t>ORD010977</t>
  </si>
  <si>
    <t>ORD010978</t>
  </si>
  <si>
    <t>ORD010979</t>
  </si>
  <si>
    <t>ORD010980</t>
  </si>
  <si>
    <t>ORD010981</t>
  </si>
  <si>
    <t>ORD010982</t>
  </si>
  <si>
    <t>ORD010983</t>
  </si>
  <si>
    <t>ORD010984</t>
  </si>
  <si>
    <t>ORD010985</t>
  </si>
  <si>
    <t>ORD010986</t>
  </si>
  <si>
    <t>ORD010987</t>
  </si>
  <si>
    <t>ORD010988</t>
  </si>
  <si>
    <t>ORD010989</t>
  </si>
  <si>
    <t>CUST00030</t>
  </si>
  <si>
    <t>ORD010990</t>
  </si>
  <si>
    <t>ORD010991</t>
  </si>
  <si>
    <t>ORD010992</t>
  </si>
  <si>
    <t>ORD010993</t>
  </si>
  <si>
    <t>ORD010994</t>
  </si>
  <si>
    <t>ORD010995</t>
  </si>
  <si>
    <t>ORD010996</t>
  </si>
  <si>
    <t>ORD010997</t>
  </si>
  <si>
    <t>ORD010998</t>
  </si>
  <si>
    <t>Unknown</t>
  </si>
  <si>
    <t>Column Labels</t>
  </si>
  <si>
    <t>Row Labels</t>
  </si>
  <si>
    <t>Grand Total</t>
  </si>
  <si>
    <t>Sum of Final_Price</t>
  </si>
  <si>
    <t>Count of Order_ID</t>
  </si>
  <si>
    <t>RTO%</t>
  </si>
  <si>
    <t>Revenue</t>
  </si>
  <si>
    <t>Payment Mode</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</si>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</sst>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1"/>
      <color theme="1"/>
      <name val="Aptos Narrow"/>
      <family val="2"/>
      <scheme val="minor"/>
    </font>
    <font>
      <b/>
      <sz val="11"/>
      <color rgb="FF000000"/>
      <name val="Calibri"/>
      <family val="2"/>
    </font>
    <font>
      <sz val="11"/>
      <color rgb="FF000000"/>
      <name val="Calibri"/>
      <family val="2"/>
    </font>
    <font>
      <sz val="10"/>
      <color rgb="FF1A1A1A"/>
      <name val="Calibri"/>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top"/>
    </xf>
    <xf numFmtId="0" fontId="3" fillId="0" borderId="0" xfId="0" applyFont="1" applyAlignment="1">
      <alignment vertical="center"/>
    </xf>
    <xf numFmtId="164" fontId="1" fillId="0" borderId="0" xfId="0" applyNumberFormat="1" applyFont="1" applyAlignment="1">
      <alignment horizontal="center" vertical="top"/>
    </xf>
    <xf numFmtId="164" fontId="2" fillId="0" borderId="0" xfId="0" applyNumberFormat="1" applyFont="1" applyAlignment="1">
      <alignment vertical="center"/>
    </xf>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10" fontId="0" fillId="0" borderId="0" xfId="0" applyNumberFormat="1"/>
    <xf numFmtId="10" fontId="4" fillId="0" borderId="0" xfId="0" applyNumberFormat="1" applyFont="1"/>
  </cellXfs>
  <cellStyles count="1">
    <cellStyle name="Normal" xfId="0" builtinId="0"/>
  </cellStyles>
  <dxfs count="0"/>
  <tableStyles count="0" defaultTableStyle="TableStyleMedium2" defaultPivotStyle="PivotStyleLight16"/>
  <colors>
    <mruColors>
      <color rgb="FF800000"/>
      <color rgb="FFC00000"/>
      <color rgb="FF1F4E79"/>
      <color rgb="FF590000"/>
      <color rgb="FF581004"/>
      <color rgb="FF660066"/>
      <color rgb="FF660033"/>
      <color rgb="FFCC00CC"/>
      <color rgb="FFCC33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[Ecommerce-RTO-Dashboard.xlsx]analysis!PivotTable2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rgbClr val="FF9900"/>
            </a:solidFill>
            <a:ln>
              <a:noFill/>
            </a:ln>
            <a:effectLst/>
          </c:spPr>
          <c:invertIfNegative val="0"/>
          <c:cat>
            <c:strRef>
              <c:f>analysis!$A$4:$A$9</c:f>
              <c:strCache>
                <c:ptCount val="5"/>
                <c:pt idx="0">
                  <c:v>Beauty</c:v>
                </c:pt>
                <c:pt idx="1">
                  <c:v>Electronics</c:v>
                </c:pt>
                <c:pt idx="2">
                  <c:v>Fashion</c:v>
                </c:pt>
                <c:pt idx="3">
                  <c:v>Grocery</c:v>
                </c:pt>
                <c:pt idx="4">
                  <c:v>Home</c:v>
                </c:pt>
              </c:strCache>
            </c:strRef>
          </c:cat>
          <c:val>
            <c:numRef>
              <c:f>analysis!$B$4:$B$9</c:f>
              <c:numCache>
                <c:formatCode>General</c:formatCode>
                <c:ptCount val="5"/>
                <c:pt idx="0">
                  <c:v>19926.75</c:v>
                </c:pt>
                <c:pt idx="1">
                  <c:v>284393.7</c:v>
                </c:pt>
                <c:pt idx="2">
                  <c:v>54162.65</c:v>
                </c:pt>
                <c:pt idx="3">
                  <c:v>22779.399999999994</c:v>
                </c:pt>
                <c:pt idx="4">
                  <c:v>122716.19999999998</c:v>
                </c:pt>
              </c:numCache>
            </c:numRef>
          </c:val>
          <c:extLst>
            <c:ext xmlns:c16="http://schemas.microsoft.com/office/drawing/2014/chart" uri="{C3380CC4-5D6E-409C-BE32-E72D297353CC}">
              <c16:uniqueId val="{00000000-E29E-495E-96A5-F5008E82CE2A}"/>
            </c:ext>
          </c:extLst>
        </c:ser>
        <c:dLbls>
          <c:showLegendKey val="0"/>
          <c:showVal val="0"/>
          <c:showCatName val="0"/>
          <c:showSerName val="0"/>
          <c:showPercent val="0"/>
          <c:showBubbleSize val="0"/>
        </c:dLbls>
        <c:gapWidth val="219"/>
        <c:overlap val="-27"/>
        <c:axId val="1087920255"/>
        <c:axId val="1087920735"/>
      </c:barChart>
      <c:catAx>
        <c:axId val="10879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920735"/>
        <c:crosses val="autoZero"/>
        <c:auto val="1"/>
        <c:lblAlgn val="ctr"/>
        <c:lblOffset val="100"/>
        <c:noMultiLvlLbl val="0"/>
      </c:catAx>
      <c:valAx>
        <c:axId val="108792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9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[Ecommerce-RTO-Dashboard.xlsx]analysis!PivotTable4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Cities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c:f>
              <c:strCache>
                <c:ptCount val="1"/>
                <c:pt idx="0">
                  <c:v>Total</c:v>
                </c:pt>
              </c:strCache>
            </c:strRef>
          </c:tx>
          <c:spPr>
            <a:solidFill>
              <a:schemeClr val="accent1"/>
            </a:solidFill>
            <a:ln>
              <a:noFill/>
            </a:ln>
            <a:effectLst/>
          </c:spPr>
          <c:invertIfNegative val="0"/>
          <c:cat>
            <c:strRef>
              <c:f>analysis!$A$21:$A$26</c:f>
              <c:strCache>
                <c:ptCount val="5"/>
                <c:pt idx="0">
                  <c:v>Bangalore</c:v>
                </c:pt>
                <c:pt idx="1">
                  <c:v>Kolkata</c:v>
                </c:pt>
                <c:pt idx="2">
                  <c:v>Mumbai</c:v>
                </c:pt>
                <c:pt idx="3">
                  <c:v>Trichy</c:v>
                </c:pt>
                <c:pt idx="4">
                  <c:v>Hyderabad</c:v>
                </c:pt>
              </c:strCache>
            </c:strRef>
          </c:cat>
          <c:val>
            <c:numRef>
              <c:f>analysis!$B$21:$B$26</c:f>
              <c:numCache>
                <c:formatCode>General</c:formatCode>
                <c:ptCount val="5"/>
                <c:pt idx="0">
                  <c:v>935348.19999999972</c:v>
                </c:pt>
                <c:pt idx="1">
                  <c:v>884865.04999999981</c:v>
                </c:pt>
                <c:pt idx="2">
                  <c:v>876924.54999999993</c:v>
                </c:pt>
                <c:pt idx="3">
                  <c:v>826815.15</c:v>
                </c:pt>
                <c:pt idx="4">
                  <c:v>792964.75</c:v>
                </c:pt>
              </c:numCache>
            </c:numRef>
          </c:val>
          <c:extLst>
            <c:ext xmlns:c16="http://schemas.microsoft.com/office/drawing/2014/chart" uri="{C3380CC4-5D6E-409C-BE32-E72D297353CC}">
              <c16:uniqueId val="{00000000-061E-4F89-934A-2C85C9727E89}"/>
            </c:ext>
          </c:extLst>
        </c:ser>
        <c:dLbls>
          <c:showLegendKey val="0"/>
          <c:showVal val="0"/>
          <c:showCatName val="0"/>
          <c:showSerName val="0"/>
          <c:showPercent val="0"/>
          <c:showBubbleSize val="0"/>
        </c:dLbls>
        <c:gapWidth val="150"/>
        <c:overlap val="100"/>
        <c:axId val="1281377855"/>
        <c:axId val="1281378815"/>
      </c:barChart>
      <c:catAx>
        <c:axId val="1281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378815"/>
        <c:crosses val="autoZero"/>
        <c:auto val="1"/>
        <c:lblAlgn val="ctr"/>
        <c:lblOffset val="100"/>
        <c:noMultiLvlLbl val="0"/>
      </c:catAx>
      <c:valAx>
        <c:axId val="128137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3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[Ecommerce-RTO-Dashboard.xlsx]analysis!PivotTable5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RTO</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analysis!$E$20:$E$21</c:f>
              <c:strCache>
                <c:ptCount val="1"/>
                <c:pt idx="0">
                  <c:v>No</c:v>
                </c:pt>
              </c:strCache>
            </c:strRef>
          </c:tx>
          <c:spPr>
            <a:solidFill>
              <a:srgbClr val="CCFF99"/>
            </a:solidFill>
            <a:ln>
              <a:noFill/>
            </a:ln>
            <a:effectLst/>
          </c:spPr>
          <c:invertIfNegative val="0"/>
          <c:cat>
            <c:strRef>
              <c:f>analysis!$D$22:$D$27</c:f>
              <c:strCache>
                <c:ptCount val="5"/>
                <c:pt idx="0">
                  <c:v>Beauty</c:v>
                </c:pt>
                <c:pt idx="1">
                  <c:v>Electronics</c:v>
                </c:pt>
                <c:pt idx="2">
                  <c:v>Fashion</c:v>
                </c:pt>
                <c:pt idx="3">
                  <c:v>Grocery</c:v>
                </c:pt>
                <c:pt idx="4">
                  <c:v>Home</c:v>
                </c:pt>
              </c:strCache>
            </c:strRef>
          </c:cat>
          <c:val>
            <c:numRef>
              <c:f>analysis!$E$22:$E$27</c:f>
              <c:numCache>
                <c:formatCode>General</c:formatCode>
                <c:ptCount val="5"/>
                <c:pt idx="0">
                  <c:v>213</c:v>
                </c:pt>
                <c:pt idx="1">
                  <c:v>193</c:v>
                </c:pt>
                <c:pt idx="2">
                  <c:v>186</c:v>
                </c:pt>
                <c:pt idx="3">
                  <c:v>180</c:v>
                </c:pt>
                <c:pt idx="4">
                  <c:v>191</c:v>
                </c:pt>
              </c:numCache>
            </c:numRef>
          </c:val>
          <c:extLst>
            <c:ext xmlns:c16="http://schemas.microsoft.com/office/drawing/2014/chart" uri="{C3380CC4-5D6E-409C-BE32-E72D297353CC}">
              <c16:uniqueId val="{00000000-D846-4D96-B934-3C05A7CB5EA7}"/>
            </c:ext>
          </c:extLst>
        </c:ser>
        <c:ser>
          <c:idx val="1"/>
          <c:order val="1"/>
          <c:tx>
            <c:strRef>
              <c:f>analysis!$F$20:$F$21</c:f>
              <c:strCache>
                <c:ptCount val="1"/>
                <c:pt idx="0">
                  <c:v>Yes</c:v>
                </c:pt>
              </c:strCache>
            </c:strRef>
          </c:tx>
          <c:spPr>
            <a:solidFill>
              <a:srgbClr val="FF0000"/>
            </a:solidFill>
            <a:ln>
              <a:noFill/>
            </a:ln>
            <a:effectLst/>
          </c:spPr>
          <c:invertIfNegative val="0"/>
          <c:cat>
            <c:strRef>
              <c:f>analysis!$D$22:$D$27</c:f>
              <c:strCache>
                <c:ptCount val="5"/>
                <c:pt idx="0">
                  <c:v>Beauty</c:v>
                </c:pt>
                <c:pt idx="1">
                  <c:v>Electronics</c:v>
                </c:pt>
                <c:pt idx="2">
                  <c:v>Fashion</c:v>
                </c:pt>
                <c:pt idx="3">
                  <c:v>Grocery</c:v>
                </c:pt>
                <c:pt idx="4">
                  <c:v>Home</c:v>
                </c:pt>
              </c:strCache>
            </c:strRef>
          </c:cat>
          <c:val>
            <c:numRef>
              <c:f>analysis!$F$22:$F$27</c:f>
              <c:numCache>
                <c:formatCode>General</c:formatCode>
                <c:ptCount val="5"/>
                <c:pt idx="0">
                  <c:v>7</c:v>
                </c:pt>
                <c:pt idx="1">
                  <c:v>5</c:v>
                </c:pt>
                <c:pt idx="2">
                  <c:v>11</c:v>
                </c:pt>
                <c:pt idx="3">
                  <c:v>7</c:v>
                </c:pt>
                <c:pt idx="4">
                  <c:v>6</c:v>
                </c:pt>
              </c:numCache>
            </c:numRef>
          </c:val>
          <c:extLst>
            <c:ext xmlns:c16="http://schemas.microsoft.com/office/drawing/2014/chart" uri="{C3380CC4-5D6E-409C-BE32-E72D297353CC}">
              <c16:uniqueId val="{00000001-D846-4D96-B934-3C05A7CB5EA7}"/>
            </c:ext>
          </c:extLst>
        </c:ser>
        <c:dLbls>
          <c:showLegendKey val="0"/>
          <c:showVal val="0"/>
          <c:showCatName val="0"/>
          <c:showSerName val="0"/>
          <c:showPercent val="0"/>
          <c:showBubbleSize val="0"/>
        </c:dLbls>
        <c:gapWidth val="219"/>
        <c:overlap val="-27"/>
        <c:axId val="1405044239"/>
        <c:axId val="1405044719"/>
      </c:barChart>
      <c:catAx>
        <c:axId val="140504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4719"/>
        <c:crosses val="autoZero"/>
        <c:auto val="1"/>
        <c:lblAlgn val="ctr"/>
        <c:lblOffset val="100"/>
        <c:noMultiLvlLbl val="0"/>
      </c:catAx>
      <c:valAx>
        <c:axId val="140504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[Ecommerce-RTO-Dashboard.xlsx]analysis!PivotTable6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RTO</a:t>
            </a:r>
            <a:r>
              <a:rPr lang="en-IN" baseline="0"/>
              <a:t>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3300"/>
          </a:solidFill>
          <a:ln>
            <a:noFill/>
          </a:ln>
          <a:effectLst/>
        </c:spPr>
      </c:pivotFmt>
    </c:pivotFmts>
    <c:plotArea>
      <c:layout/>
      <c:barChart>
        <c:barDir val="col"/>
        <c:grouping val="percentStacked"/>
        <c:varyColors val="0"/>
        <c:ser>
          <c:idx val="0"/>
          <c:order val="0"/>
          <c:tx>
            <c:strRef>
              <c:f>analysis!$E$3:$E$4</c:f>
              <c:strCache>
                <c:ptCount val="1"/>
                <c:pt idx="0">
                  <c:v>No</c:v>
                </c:pt>
              </c:strCache>
            </c:strRef>
          </c:tx>
          <c:spPr>
            <a:solidFill>
              <a:srgbClr val="92D050"/>
            </a:solidFill>
            <a:ln>
              <a:noFill/>
            </a:ln>
            <a:effectLst/>
          </c:spPr>
          <c:invertIfNegative val="0"/>
          <c:cat>
            <c:strRef>
              <c:f>analysis!$D$5:$D$10</c:f>
              <c:strCache>
                <c:ptCount val="5"/>
                <c:pt idx="0">
                  <c:v>COD</c:v>
                </c:pt>
                <c:pt idx="1">
                  <c:v>Credit Card</c:v>
                </c:pt>
                <c:pt idx="2">
                  <c:v>Debit Card</c:v>
                </c:pt>
                <c:pt idx="3">
                  <c:v>Net Banking</c:v>
                </c:pt>
                <c:pt idx="4">
                  <c:v>UPI</c:v>
                </c:pt>
              </c:strCache>
            </c:strRef>
          </c:cat>
          <c:val>
            <c:numRef>
              <c:f>analysis!$E$5:$E$10</c:f>
              <c:numCache>
                <c:formatCode>General</c:formatCode>
                <c:ptCount val="5"/>
                <c:pt idx="0">
                  <c:v>212</c:v>
                </c:pt>
                <c:pt idx="1">
                  <c:v>211</c:v>
                </c:pt>
                <c:pt idx="2">
                  <c:v>146</c:v>
                </c:pt>
                <c:pt idx="3">
                  <c:v>40</c:v>
                </c:pt>
                <c:pt idx="4">
                  <c:v>354</c:v>
                </c:pt>
              </c:numCache>
            </c:numRef>
          </c:val>
          <c:extLst>
            <c:ext xmlns:c16="http://schemas.microsoft.com/office/drawing/2014/chart" uri="{C3380CC4-5D6E-409C-BE32-E72D297353CC}">
              <c16:uniqueId val="{00000000-2BEA-4F4D-9950-084DAC9D8979}"/>
            </c:ext>
          </c:extLst>
        </c:ser>
        <c:ser>
          <c:idx val="1"/>
          <c:order val="1"/>
          <c:tx>
            <c:strRef>
              <c:f>analysis!$F$3:$F$4</c:f>
              <c:strCache>
                <c:ptCount val="1"/>
                <c:pt idx="0">
                  <c:v>Yes</c:v>
                </c:pt>
              </c:strCache>
            </c:strRef>
          </c:tx>
          <c:spPr>
            <a:solidFill>
              <a:schemeClr val="accent2"/>
            </a:solidFill>
            <a:ln>
              <a:noFill/>
            </a:ln>
            <a:effectLst/>
          </c:spPr>
          <c:invertIfNegative val="0"/>
          <c:dPt>
            <c:idx val="0"/>
            <c:invertIfNegative val="0"/>
            <c:bubble3D val="0"/>
            <c:spPr>
              <a:solidFill>
                <a:srgbClr val="CC3300"/>
              </a:solidFill>
              <a:ln>
                <a:noFill/>
              </a:ln>
              <a:effectLst/>
            </c:spPr>
            <c:extLst>
              <c:ext xmlns:c16="http://schemas.microsoft.com/office/drawing/2014/chart" uri="{C3380CC4-5D6E-409C-BE32-E72D297353CC}">
                <c16:uniqueId val="{00000002-2BEA-4F4D-9950-084DAC9D8979}"/>
              </c:ext>
            </c:extLst>
          </c:dPt>
          <c:cat>
            <c:strRef>
              <c:f>analysis!$D$5:$D$10</c:f>
              <c:strCache>
                <c:ptCount val="5"/>
                <c:pt idx="0">
                  <c:v>COD</c:v>
                </c:pt>
                <c:pt idx="1">
                  <c:v>Credit Card</c:v>
                </c:pt>
                <c:pt idx="2">
                  <c:v>Debit Card</c:v>
                </c:pt>
                <c:pt idx="3">
                  <c:v>Net Banking</c:v>
                </c:pt>
                <c:pt idx="4">
                  <c:v>UPI</c:v>
                </c:pt>
              </c:strCache>
            </c:strRef>
          </c:cat>
          <c:val>
            <c:numRef>
              <c:f>analysis!$F$5:$F$10</c:f>
              <c:numCache>
                <c:formatCode>General</c:formatCode>
                <c:ptCount val="5"/>
                <c:pt idx="0">
                  <c:v>36</c:v>
                </c:pt>
              </c:numCache>
            </c:numRef>
          </c:val>
          <c:extLst>
            <c:ext xmlns:c16="http://schemas.microsoft.com/office/drawing/2014/chart" uri="{C3380CC4-5D6E-409C-BE32-E72D297353CC}">
              <c16:uniqueId val="{00000001-2BEA-4F4D-9950-084DAC9D8979}"/>
            </c:ext>
          </c:extLst>
        </c:ser>
        <c:dLbls>
          <c:showLegendKey val="0"/>
          <c:showVal val="0"/>
          <c:showCatName val="0"/>
          <c:showSerName val="0"/>
          <c:showPercent val="0"/>
          <c:showBubbleSize val="0"/>
        </c:dLbls>
        <c:gapWidth val="150"/>
        <c:overlap val="100"/>
        <c:axId val="1431515775"/>
        <c:axId val="1431517215"/>
      </c:barChart>
      <c:catAx>
        <c:axId val="14315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17215"/>
        <c:crosses val="autoZero"/>
        <c:auto val="1"/>
        <c:lblAlgn val="ctr"/>
        <c:lblOffset val="100"/>
        <c:noMultiLvlLbl val="0"/>
      </c:catAx>
      <c:valAx>
        <c:axId val="1431517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1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[Ecommerce-RTO-Dashboard.xlsx]analysis!PivotTable3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YOY</a:t>
            </a:r>
            <a:r>
              <a:rPr lang="en-IN" baseline="0"/>
              <a:t> Revenue Growth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rgbClr val="66003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0066"/>
            </a:solidFill>
            <a:round/>
          </a:ln>
          <a:effectLst/>
        </c:spPr>
        <c:marker>
          <c:symbol val="circle"/>
          <c:size val="5"/>
          <c:spPr>
            <a:solidFill>
              <a:srgbClr val="660033"/>
            </a:solidFill>
            <a:ln w="9525">
              <a:solidFill>
                <a:srgbClr val="660066"/>
              </a:solidFill>
            </a:ln>
            <a:effectLst/>
          </c:spPr>
        </c:marker>
      </c:pivotFmt>
      <c:pivotFmt>
        <c:idx val="3"/>
        <c:spPr>
          <a:ln w="28575" cap="rnd">
            <a:solidFill>
              <a:srgbClr val="660066"/>
            </a:solidFill>
            <a:round/>
          </a:ln>
          <a:effectLst/>
        </c:spPr>
        <c:marker>
          <c:symbol val="circle"/>
          <c:size val="5"/>
          <c:spPr>
            <a:solidFill>
              <a:srgbClr val="660033"/>
            </a:solidFill>
            <a:ln w="9525">
              <a:solidFill>
                <a:srgbClr val="660066"/>
              </a:solidFill>
            </a:ln>
            <a:effectLst/>
          </c:spPr>
        </c:marker>
      </c:pivotFmt>
      <c:pivotFmt>
        <c:idx val="4"/>
        <c:spPr>
          <a:ln w="28575" cap="rnd">
            <a:solidFill>
              <a:srgbClr val="660066"/>
            </a:solidFill>
            <a:round/>
          </a:ln>
          <a:effectLst/>
        </c:spPr>
        <c:marker>
          <c:symbol val="circle"/>
          <c:size val="5"/>
          <c:spPr>
            <a:solidFill>
              <a:srgbClr val="660033"/>
            </a:solidFill>
            <a:ln w="9525">
              <a:solidFill>
                <a:srgbClr val="660066"/>
              </a:solidFill>
            </a:ln>
            <a:effectLst/>
          </c:spPr>
        </c:marker>
      </c:pivotFmt>
    </c:pivotFmts>
    <c:plotArea>
      <c:layout>
        <c:manualLayout>
          <c:layoutTarget val="inner"/>
          <c:xMode val="edge"/>
          <c:yMode val="edge"/>
          <c:x val="5.6371676944637239E-2"/>
          <c:y val="0.15782407407407409"/>
          <c:w val="0.92201400356870289"/>
          <c:h val="0.72125801983085447"/>
        </c:manualLayout>
      </c:layout>
      <c:lineChart>
        <c:grouping val="standard"/>
        <c:varyColors val="0"/>
        <c:ser>
          <c:idx val="0"/>
          <c:order val="0"/>
          <c:tx>
            <c:strRef>
              <c:f>analysis!$B$30</c:f>
              <c:strCache>
                <c:ptCount val="1"/>
                <c:pt idx="0">
                  <c:v>Total</c:v>
                </c:pt>
              </c:strCache>
            </c:strRef>
          </c:tx>
          <c:spPr>
            <a:ln w="28575" cap="rnd">
              <a:solidFill>
                <a:schemeClr val="accent1"/>
              </a:solidFill>
              <a:round/>
            </a:ln>
            <a:effectLst/>
          </c:spPr>
          <c:marker>
            <c:symbol val="circle"/>
            <c:size val="5"/>
            <c:spPr>
              <a:solidFill>
                <a:srgbClr val="660033"/>
              </a:solidFill>
              <a:ln w="9525">
                <a:solidFill>
                  <a:schemeClr val="accent1"/>
                </a:solidFill>
              </a:ln>
              <a:effectLst/>
            </c:spPr>
          </c:marker>
          <c:dPt>
            <c:idx val="1"/>
            <c:marker>
              <c:symbol val="circle"/>
              <c:size val="5"/>
              <c:spPr>
                <a:solidFill>
                  <a:srgbClr val="660033"/>
                </a:solidFill>
                <a:ln w="9525">
                  <a:solidFill>
                    <a:srgbClr val="660066"/>
                  </a:solidFill>
                </a:ln>
                <a:effectLst/>
              </c:spPr>
            </c:marker>
            <c:bubble3D val="0"/>
            <c:spPr>
              <a:ln w="28575" cap="rnd">
                <a:solidFill>
                  <a:srgbClr val="660066"/>
                </a:solidFill>
                <a:round/>
              </a:ln>
              <a:effectLst/>
            </c:spPr>
            <c:extLst>
              <c:ext xmlns:c16="http://schemas.microsoft.com/office/drawing/2014/chart" uri="{C3380CC4-5D6E-409C-BE32-E72D297353CC}">
                <c16:uniqueId val="{00000001-5D9F-4365-9220-D6EADE0DCE32}"/>
              </c:ext>
            </c:extLst>
          </c:dPt>
          <c:dPt>
            <c:idx val="2"/>
            <c:marker>
              <c:symbol val="circle"/>
              <c:size val="5"/>
              <c:spPr>
                <a:solidFill>
                  <a:srgbClr val="660033"/>
                </a:solidFill>
                <a:ln w="9525">
                  <a:solidFill>
                    <a:srgbClr val="660066"/>
                  </a:solidFill>
                </a:ln>
                <a:effectLst/>
              </c:spPr>
            </c:marker>
            <c:bubble3D val="0"/>
            <c:spPr>
              <a:ln w="28575" cap="rnd">
                <a:solidFill>
                  <a:srgbClr val="660066"/>
                </a:solidFill>
                <a:round/>
              </a:ln>
              <a:effectLst/>
            </c:spPr>
            <c:extLst>
              <c:ext xmlns:c16="http://schemas.microsoft.com/office/drawing/2014/chart" uri="{C3380CC4-5D6E-409C-BE32-E72D297353CC}">
                <c16:uniqueId val="{00000002-5D9F-4365-9220-D6EADE0DCE32}"/>
              </c:ext>
            </c:extLst>
          </c:dPt>
          <c:dPt>
            <c:idx val="3"/>
            <c:marker>
              <c:symbol val="circle"/>
              <c:size val="5"/>
              <c:spPr>
                <a:solidFill>
                  <a:srgbClr val="660033"/>
                </a:solidFill>
                <a:ln w="9525">
                  <a:solidFill>
                    <a:srgbClr val="660066"/>
                  </a:solidFill>
                </a:ln>
                <a:effectLst/>
              </c:spPr>
            </c:marker>
            <c:bubble3D val="0"/>
            <c:spPr>
              <a:ln w="28575" cap="rnd">
                <a:solidFill>
                  <a:srgbClr val="660066"/>
                </a:solidFill>
                <a:round/>
              </a:ln>
              <a:effectLst/>
            </c:spPr>
            <c:extLst>
              <c:ext xmlns:c16="http://schemas.microsoft.com/office/drawing/2014/chart" uri="{C3380CC4-5D6E-409C-BE32-E72D297353CC}">
                <c16:uniqueId val="{00000003-5D9F-4365-9220-D6EADE0DCE32}"/>
              </c:ext>
            </c:extLst>
          </c:dPt>
          <c:cat>
            <c:strRef>
              <c:f>analysis!$A$31:$A$35</c:f>
              <c:strCache>
                <c:ptCount val="4"/>
                <c:pt idx="0">
                  <c:v>2022</c:v>
                </c:pt>
                <c:pt idx="1">
                  <c:v>2023</c:v>
                </c:pt>
                <c:pt idx="2">
                  <c:v>2024</c:v>
                </c:pt>
                <c:pt idx="3">
                  <c:v>2025</c:v>
                </c:pt>
              </c:strCache>
            </c:strRef>
          </c:cat>
          <c:val>
            <c:numRef>
              <c:f>analysis!$B$31:$B$35</c:f>
              <c:numCache>
                <c:formatCode>General</c:formatCode>
                <c:ptCount val="4"/>
                <c:pt idx="0">
                  <c:v>1494475.8</c:v>
                </c:pt>
                <c:pt idx="1">
                  <c:v>2375053.4</c:v>
                </c:pt>
                <c:pt idx="2">
                  <c:v>3104724.9000000013</c:v>
                </c:pt>
                <c:pt idx="3">
                  <c:v>650972.2999999997</c:v>
                </c:pt>
              </c:numCache>
            </c:numRef>
          </c:val>
          <c:smooth val="0"/>
          <c:extLst>
            <c:ext xmlns:c16="http://schemas.microsoft.com/office/drawing/2014/chart" uri="{C3380CC4-5D6E-409C-BE32-E72D297353CC}">
              <c16:uniqueId val="{00000000-5D9F-4365-9220-D6EADE0DCE32}"/>
            </c:ext>
          </c:extLst>
        </c:ser>
        <c:dLbls>
          <c:showLegendKey val="0"/>
          <c:showVal val="0"/>
          <c:showCatName val="0"/>
          <c:showSerName val="0"/>
          <c:showPercent val="0"/>
          <c:showBubbleSize val="0"/>
        </c:dLbls>
        <c:marker val="1"/>
        <c:smooth val="0"/>
        <c:axId val="1472059167"/>
        <c:axId val="1472056287"/>
      </c:lineChart>
      <c:catAx>
        <c:axId val="14720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56287"/>
        <c:crosses val="autoZero"/>
        <c:auto val="1"/>
        <c:lblAlgn val="ctr"/>
        <c:lblOffset val="100"/>
        <c:noMultiLvlLbl val="0"/>
      </c:catAx>
      <c:valAx>
        <c:axId val="147205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xdr:colOff>
      <xdr:row>8</xdr:row>
      <xdr:rowOff>52386</xdr:rowOff>
    </xdr:from>
    <xdr:to>
      <xdr:col>7</xdr:col>
      <xdr:colOff>314325</xdr:colOff>
      <xdr:row>22</xdr:row>
      <xdr:rowOff>152399</xdr:rowOff>
    </xdr:to>
    <xdr:graphicFrame macro="">
      <xdr:nvGraphicFramePr>
        <xdr:cNvPr id="3" name="Chart 1">
          <a:extLst>
            <a:ext uri="{FF2B5EF4-FFF2-40B4-BE49-F238E27FC236}">
              <a16:creationId xmlns:a16="http://schemas.microsoft.com/office/drawing/2014/main" id="{2F65D683-CCEC-7476-2613-D412F85D0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247649</xdr:colOff>
      <xdr:row>8</xdr:row>
      <xdr:rowOff>52387</xdr:rowOff>
    </xdr:from>
    <xdr:to>
      <xdr:col>13</xdr:col>
      <xdr:colOff>600075</xdr:colOff>
      <xdr:row>22</xdr:row>
      <xdr:rowOff>161925</xdr:rowOff>
    </xdr:to>
    <xdr:graphicFrame macro="">
      <xdr:nvGraphicFramePr>
        <xdr:cNvPr id="2" name="Chart 12">
          <a:extLst>
            <a:ext uri="{FF2B5EF4-FFF2-40B4-BE49-F238E27FC236}">
              <a16:creationId xmlns:a16="http://schemas.microsoft.com/office/drawing/2014/main" id="{354D301C-480B-2A2E-8466-EFF048BDB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176212</xdr:rowOff>
    </xdr:from>
    <xdr:to>
      <xdr:col>7</xdr:col>
      <xdr:colOff>304800</xdr:colOff>
      <xdr:row>37</xdr:row>
      <xdr:rowOff>61912</xdr:rowOff>
    </xdr:to>
    <xdr:graphicFrame macro="">
      <xdr:nvGraphicFramePr>
        <xdr:cNvPr id="4" name="Chart 1">
          <a:extLst>
            <a:ext uri="{FF2B5EF4-FFF2-40B4-BE49-F238E27FC236}">
              <a16:creationId xmlns:a16="http://schemas.microsoft.com/office/drawing/2014/main" id="{E606678E-46BF-F101-79AB-2C5BD066F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22</xdr:row>
      <xdr:rowOff>176212</xdr:rowOff>
    </xdr:from>
    <xdr:to>
      <xdr:col>14</xdr:col>
      <xdr:colOff>9525</xdr:colOff>
      <xdr:row>37</xdr:row>
      <xdr:rowOff>61912</xdr:rowOff>
    </xdr:to>
    <xdr:graphicFrame macro="">
      <xdr:nvGraphicFramePr>
        <xdr:cNvPr id="6" name="Chart 2">
          <a:extLst>
            <a:ext uri="{FF2B5EF4-FFF2-40B4-BE49-F238E27FC236}">
              <a16:creationId xmlns:a16="http://schemas.microsoft.com/office/drawing/2014/main" id="{31295E30-1CF5-527D-4837-E44160DE0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37</xdr:row>
      <xdr:rowOff>61911</xdr:rowOff>
    </xdr:from>
    <xdr:to>
      <xdr:col>14</xdr:col>
      <xdr:colOff>19051</xdr:colOff>
      <xdr:row>52</xdr:row>
      <xdr:rowOff>28575</xdr:rowOff>
    </xdr:to>
    <xdr:graphicFrame macro="">
      <xdr:nvGraphicFramePr>
        <xdr:cNvPr id="7" name="Chart 3">
          <a:extLst>
            <a:ext uri="{FF2B5EF4-FFF2-40B4-BE49-F238E27FC236}">
              <a16:creationId xmlns:a16="http://schemas.microsoft.com/office/drawing/2014/main" id="{9F7CEAB5-3C80-E954-8A09-83439B8AF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0</xdr:row>
      <xdr:rowOff>0</xdr:rowOff>
    </xdr:from>
    <xdr:to>
      <xdr:col>14</xdr:col>
      <xdr:colOff>28575</xdr:colOff>
      <xdr:row>2</xdr:row>
      <xdr:rowOff>19051</xdr:rowOff>
    </xdr:to>
    <xdr:sp macro="" textlink="">
      <xdr:nvSpPr>
        <xdr:cNvPr id="8" name="Rectangle 7">
          <a:extLst>
            <a:ext uri="{FF2B5EF4-FFF2-40B4-BE49-F238E27FC236}">
              <a16:creationId xmlns:a16="http://schemas.microsoft.com/office/drawing/2014/main" id="{C977CD8C-A83F-3C6B-21DA-5E54EAF100B1}"/>
            </a:ext>
          </a:extLst>
        </xdr:cNvPr>
        <xdr:cNvSpPr/>
      </xdr:nvSpPr>
      <xdr:spPr>
        <a:xfrm>
          <a:off x="9525" y="0"/>
          <a:ext cx="8553450" cy="400051"/>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sz="1100"/>
            <a:t>                                                                                                                                                                   </a:t>
          </a:r>
          <a:r>
            <a:rPr lang="en-IN" sz="1400" b="1"/>
            <a:t>TOTAL</a:t>
          </a:r>
          <a:r>
            <a:rPr lang="en-IN" sz="1400" b="1" baseline="0"/>
            <a:t> REVENUE    </a:t>
          </a:r>
          <a:endParaRPr lang="en-IN" sz="1400" b="1"/>
        </a:p>
      </xdr:txBody>
    </xdr:sp>
    <xdr:clientData/>
  </xdr:twoCellAnchor>
  <xdr:twoCellAnchor>
    <xdr:from>
      <xdr:col>0</xdr:col>
      <xdr:colOff>28576</xdr:colOff>
      <xdr:row>2</xdr:row>
      <xdr:rowOff>19050</xdr:rowOff>
    </xdr:from>
    <xdr:to>
      <xdr:col>5</xdr:col>
      <xdr:colOff>57150</xdr:colOff>
      <xdr:row>8</xdr:row>
      <xdr:rowOff>9526</xdr:rowOff>
    </xdr:to>
    <xdr:sp macro="" textlink="">
      <xdr:nvSpPr>
        <xdr:cNvPr id="5" name="Rectangle 4">
          <a:extLst>
            <a:ext uri="{FF2B5EF4-FFF2-40B4-BE49-F238E27FC236}">
              <a16:creationId xmlns:a16="http://schemas.microsoft.com/office/drawing/2014/main" id="{DAF59013-14DA-E462-BE32-D3601E615CCC}"/>
            </a:ext>
          </a:extLst>
        </xdr:cNvPr>
        <xdr:cNvSpPr/>
      </xdr:nvSpPr>
      <xdr:spPr>
        <a:xfrm>
          <a:off x="28576" y="400050"/>
          <a:ext cx="3076574" cy="1133476"/>
        </a:xfrm>
        <a:prstGeom prst="rect">
          <a:avLst/>
        </a:prstGeom>
        <a:solidFill>
          <a:schemeClr val="bg1"/>
        </a:solidFill>
        <a:ln w="28575">
          <a:solidFill>
            <a:srgbClr val="1F4E7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1F4E79"/>
              </a:solidFill>
            </a:rPr>
            <a:t>₹76.23L</a:t>
          </a:r>
        </a:p>
        <a:p>
          <a:pPr algn="ctr"/>
          <a:r>
            <a:rPr lang="en-IN" sz="2400" baseline="0">
              <a:solidFill>
                <a:srgbClr val="1F4E79"/>
              </a:solidFill>
            </a:rPr>
            <a:t>Total Revenue</a:t>
          </a:r>
        </a:p>
      </xdr:txBody>
    </xdr:sp>
    <xdr:clientData/>
  </xdr:twoCellAnchor>
  <xdr:twoCellAnchor>
    <xdr:from>
      <xdr:col>5</xdr:col>
      <xdr:colOff>80964</xdr:colOff>
      <xdr:row>2</xdr:row>
      <xdr:rowOff>47625</xdr:rowOff>
    </xdr:from>
    <xdr:to>
      <xdr:col>9</xdr:col>
      <xdr:colOff>542926</xdr:colOff>
      <xdr:row>8</xdr:row>
      <xdr:rowOff>28575</xdr:rowOff>
    </xdr:to>
    <xdr:sp macro="" textlink="">
      <xdr:nvSpPr>
        <xdr:cNvPr id="9" name="Rectangle 8">
          <a:extLst>
            <a:ext uri="{FF2B5EF4-FFF2-40B4-BE49-F238E27FC236}">
              <a16:creationId xmlns:a16="http://schemas.microsoft.com/office/drawing/2014/main" id="{E0B1C0B1-E090-4F20-9BC9-18784FC20A1E}"/>
            </a:ext>
          </a:extLst>
        </xdr:cNvPr>
        <xdr:cNvSpPr/>
      </xdr:nvSpPr>
      <xdr:spPr>
        <a:xfrm>
          <a:off x="3128964" y="428625"/>
          <a:ext cx="2900362" cy="1123950"/>
        </a:xfrm>
        <a:prstGeom prst="rect">
          <a:avLst/>
        </a:prstGeom>
        <a:solidFill>
          <a:schemeClr val="bg1"/>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C00000"/>
              </a:solidFill>
            </a:rPr>
            <a:t>3.60%</a:t>
          </a:r>
        </a:p>
        <a:p>
          <a:pPr algn="ctr"/>
          <a:r>
            <a:rPr lang="en-IN" sz="2400">
              <a:solidFill>
                <a:srgbClr val="C00000"/>
              </a:solidFill>
            </a:rPr>
            <a:t>Overall RTO%</a:t>
          </a:r>
        </a:p>
      </xdr:txBody>
    </xdr:sp>
    <xdr:clientData/>
  </xdr:twoCellAnchor>
  <xdr:twoCellAnchor>
    <xdr:from>
      <xdr:col>9</xdr:col>
      <xdr:colOff>581026</xdr:colOff>
      <xdr:row>2</xdr:row>
      <xdr:rowOff>38101</xdr:rowOff>
    </xdr:from>
    <xdr:to>
      <xdr:col>14</xdr:col>
      <xdr:colOff>9525</xdr:colOff>
      <xdr:row>8</xdr:row>
      <xdr:rowOff>19050</xdr:rowOff>
    </xdr:to>
    <xdr:sp macro="" textlink="">
      <xdr:nvSpPr>
        <xdr:cNvPr id="10" name="Rectangle 9">
          <a:extLst>
            <a:ext uri="{FF2B5EF4-FFF2-40B4-BE49-F238E27FC236}">
              <a16:creationId xmlns:a16="http://schemas.microsoft.com/office/drawing/2014/main" id="{CA335630-686F-28D5-810E-79AE90C1812B}"/>
            </a:ext>
          </a:extLst>
        </xdr:cNvPr>
        <xdr:cNvSpPr/>
      </xdr:nvSpPr>
      <xdr:spPr>
        <a:xfrm>
          <a:off x="6067426" y="419101"/>
          <a:ext cx="2476499" cy="1123949"/>
        </a:xfrm>
        <a:prstGeom prst="rect">
          <a:avLst/>
        </a:prstGeom>
        <a:solidFill>
          <a:schemeClr val="bg1"/>
        </a:solidFill>
        <a:ln w="28575">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800000"/>
              </a:solidFill>
            </a:rPr>
            <a:t>Fashion</a:t>
          </a:r>
        </a:p>
        <a:p>
          <a:pPr algn="ctr"/>
          <a:r>
            <a:rPr lang="en-IN" sz="2400">
              <a:solidFill>
                <a:srgbClr val="800000"/>
              </a:solidFill>
            </a:rPr>
            <a:t>Top RTO 5.58%</a:t>
          </a:r>
        </a:p>
      </xdr:txBody>
    </xdr:sp>
    <xdr:clientData/>
  </xdr:twoCellAnchor>
  <xdr:twoCellAnchor editAs="oneCell">
    <xdr:from>
      <xdr:col>13</xdr:col>
      <xdr:colOff>57150</xdr:colOff>
      <xdr:row>0</xdr:row>
      <xdr:rowOff>0</xdr:rowOff>
    </xdr:from>
    <xdr:to>
      <xdr:col>14</xdr:col>
      <xdr:colOff>47625</xdr:colOff>
      <xdr:row>2</xdr:row>
      <xdr:rowOff>9526</xdr:rowOff>
    </xdr:to>
    <mc:AlternateContent xmlns:mc="http://schemas.openxmlformats.org/markup-compatibility/2006" xmlns:a14="http://schemas.microsoft.com/office/drawing/2010/main">
      <mc:Choice Requires="a14">
        <xdr:graphicFrame macro="">
          <xdr:nvGraphicFramePr>
            <xdr:cNvPr id="11" name="Months (Order_Date)">
              <a:extLst>
                <a:ext uri="{FF2B5EF4-FFF2-40B4-BE49-F238E27FC236}">
                  <a16:creationId xmlns:a16="http://schemas.microsoft.com/office/drawing/2014/main" id="{E342D02A-B95A-A663-58F9-374A94A6FB55}"/>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981950" y="0"/>
              <a:ext cx="600075" cy="39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9525</xdr:rowOff>
    </xdr:from>
    <xdr:to>
      <xdr:col>5</xdr:col>
      <xdr:colOff>28574</xdr:colOff>
      <xdr:row>8</xdr:row>
      <xdr:rowOff>1</xdr:rowOff>
    </xdr:to>
    <xdr:sp macro="" textlink="">
      <xdr:nvSpPr>
        <xdr:cNvPr id="12" name="Rectangle 11">
          <a:extLst>
            <a:ext uri="{FF2B5EF4-FFF2-40B4-BE49-F238E27FC236}">
              <a16:creationId xmlns:a16="http://schemas.microsoft.com/office/drawing/2014/main" id="{7FE21470-C974-82CF-B8C2-0FAE2AB34E8A}"/>
            </a:ext>
          </a:extLst>
        </xdr:cNvPr>
        <xdr:cNvSpPr/>
      </xdr:nvSpPr>
      <xdr:spPr>
        <a:xfrm>
          <a:off x="0" y="390525"/>
          <a:ext cx="3076574" cy="1133476"/>
        </a:xfrm>
        <a:prstGeom prst="rect">
          <a:avLst/>
        </a:prstGeom>
        <a:solidFill>
          <a:schemeClr val="bg1"/>
        </a:solidFill>
        <a:ln w="28575">
          <a:solidFill>
            <a:srgbClr val="1F4E7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1F4E79"/>
              </a:solidFill>
            </a:rPr>
            <a:t>₹76.23L</a:t>
          </a:r>
        </a:p>
        <a:p>
          <a:pPr algn="ctr"/>
          <a:r>
            <a:rPr lang="en-IN" sz="2400" baseline="0">
              <a:solidFill>
                <a:srgbClr val="1F4E79"/>
              </a:solidFill>
            </a:rPr>
            <a:t>Total Revenue</a:t>
          </a:r>
        </a:p>
      </xdr:txBody>
    </xdr:sp>
    <xdr:clientData/>
  </xdr:twoCellAnchor>
  <xdr:twoCellAnchor>
    <xdr:from>
      <xdr:col>5</xdr:col>
      <xdr:colOff>73819</xdr:colOff>
      <xdr:row>2</xdr:row>
      <xdr:rowOff>38100</xdr:rowOff>
    </xdr:from>
    <xdr:to>
      <xdr:col>9</xdr:col>
      <xdr:colOff>535781</xdr:colOff>
      <xdr:row>8</xdr:row>
      <xdr:rowOff>19050</xdr:rowOff>
    </xdr:to>
    <xdr:sp macro="" textlink="">
      <xdr:nvSpPr>
        <xdr:cNvPr id="13" name="Rectangle 12">
          <a:extLst>
            <a:ext uri="{FF2B5EF4-FFF2-40B4-BE49-F238E27FC236}">
              <a16:creationId xmlns:a16="http://schemas.microsoft.com/office/drawing/2014/main" id="{03AF2013-8DD5-5B5F-D8A9-78E232EAEFF5}"/>
            </a:ext>
          </a:extLst>
        </xdr:cNvPr>
        <xdr:cNvSpPr/>
      </xdr:nvSpPr>
      <xdr:spPr>
        <a:xfrm>
          <a:off x="3121819" y="419100"/>
          <a:ext cx="2900362" cy="1123950"/>
        </a:xfrm>
        <a:prstGeom prst="rect">
          <a:avLst/>
        </a:prstGeom>
        <a:solidFill>
          <a:schemeClr val="bg1"/>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C00000"/>
              </a:solidFill>
            </a:rPr>
            <a:t>3.60%</a:t>
          </a:r>
        </a:p>
        <a:p>
          <a:pPr algn="ctr"/>
          <a:r>
            <a:rPr lang="en-IN" sz="2400">
              <a:solidFill>
                <a:srgbClr val="C00000"/>
              </a:solidFill>
            </a:rPr>
            <a:t>Overall RTO%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142875</xdr:colOff>
      <xdr:row>54</xdr:row>
      <xdr:rowOff>76200</xdr:rowOff>
    </xdr:to>
    <xdr:pic>
      <xdr:nvPicPr>
        <xdr:cNvPr id="2" name="Picture 1">
          <a:extLst>
            <a:ext uri="{FF2B5EF4-FFF2-40B4-BE49-F238E27FC236}">
              <a16:creationId xmlns:a16="http://schemas.microsoft.com/office/drawing/2014/main" id="{BC2FD2DD-9FE0-8CF4-468D-23D50DFDB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14</xdr:col>
      <xdr:colOff>142875</xdr:colOff>
      <xdr:row>54</xdr:row>
      <xdr:rowOff>76200</xdr:rowOff>
    </xdr:to>
    <xdr:pic>
      <xdr:nvPicPr>
        <xdr:cNvPr id="3" name="Picture 2">
          <a:extLst>
            <a:ext uri="{FF2B5EF4-FFF2-40B4-BE49-F238E27FC236}">
              <a16:creationId xmlns:a16="http://schemas.microsoft.com/office/drawing/2014/main" id="{E4A485D3-54EE-1078-32F0-74327114A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14</xdr:col>
      <xdr:colOff>142875</xdr:colOff>
      <xdr:row>54</xdr:row>
      <xdr:rowOff>76200</xdr:rowOff>
    </xdr:to>
    <xdr:pic>
      <xdr:nvPicPr>
        <xdr:cNvPr id="4" name="Picture 3">
          <a:extLst>
            <a:ext uri="{FF2B5EF4-FFF2-40B4-BE49-F238E27FC236}">
              <a16:creationId xmlns:a16="http://schemas.microsoft.com/office/drawing/2014/main" id="{0C4627C5-90ED-01D2-862C-5D7D7CAA8A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14</xdr:col>
      <xdr:colOff>142875</xdr:colOff>
      <xdr:row>54</xdr:row>
      <xdr:rowOff>76200</xdr:rowOff>
    </xdr:to>
    <xdr:pic>
      <xdr:nvPicPr>
        <xdr:cNvPr id="5" name="Picture 4">
          <a:extLst>
            <a:ext uri="{FF2B5EF4-FFF2-40B4-BE49-F238E27FC236}">
              <a16:creationId xmlns:a16="http://schemas.microsoft.com/office/drawing/2014/main" id="{2FAC1CD0-8C5F-4CD3-9357-379DFD6BF1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14</xdr:col>
      <xdr:colOff>142875</xdr:colOff>
      <xdr:row>54</xdr:row>
      <xdr:rowOff>76200</xdr:rowOff>
    </xdr:to>
    <xdr:pic>
      <xdr:nvPicPr>
        <xdr:cNvPr id="6" name="Picture 5">
          <a:extLst>
            <a:ext uri="{FF2B5EF4-FFF2-40B4-BE49-F238E27FC236}">
              <a16:creationId xmlns:a16="http://schemas.microsoft.com/office/drawing/2014/main" id="{79084010-55F5-8335-5BD8-7EA46363F3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14</xdr:col>
      <xdr:colOff>142875</xdr:colOff>
      <xdr:row>54</xdr:row>
      <xdr:rowOff>76200</xdr:rowOff>
    </xdr:to>
    <xdr:pic>
      <xdr:nvPicPr>
        <xdr:cNvPr id="7" name="Picture 6">
          <a:extLst>
            <a:ext uri="{FF2B5EF4-FFF2-40B4-BE49-F238E27FC236}">
              <a16:creationId xmlns:a16="http://schemas.microsoft.com/office/drawing/2014/main" id="{B2124373-C46E-30E6-8163-DA486230F6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38100</xdr:rowOff>
    </xdr:from>
    <xdr:to>
      <xdr:col>14</xdr:col>
      <xdr:colOff>142875</xdr:colOff>
      <xdr:row>54</xdr:row>
      <xdr:rowOff>114300</xdr:rowOff>
    </xdr:to>
    <xdr:pic>
      <xdr:nvPicPr>
        <xdr:cNvPr id="8" name="Picture 7">
          <a:extLst>
            <a:ext uri="{FF2B5EF4-FFF2-40B4-BE49-F238E27FC236}">
              <a16:creationId xmlns:a16="http://schemas.microsoft.com/office/drawing/2014/main" id="{72585864-F190-7971-68C3-6F6FF9646B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8100"/>
          <a:ext cx="8677275" cy="1036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0.602564004628" createdVersion="8" refreshedVersion="8" minRefreshableVersion="3" recordCount="999" xr:uid="{E754D44F-8911-436D-AD5A-02019F22277F}">
  <cacheSource type="worksheet">
    <worksheetSource ref="A1:P1000" sheet="dataset"/>
  </cacheSource>
  <cacheFields count="18">
    <cacheField name="Order_Date" numFmtId="164">
      <sharedItems containsSemiMixedTypes="0" containsNonDate="0" containsDate="1" containsString="0" minDate="2022-06-27T00:00:00" maxDate="2025-03-22T00:00:00" count="999">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sharedItems>
      <fieldGroup par="17"/>
    </cacheField>
    <cacheField name="Order_ID" numFmtId="0">
      <sharedItems count="999">
        <s v="ORD010000"/>
        <s v="ORD010001"/>
        <s v="ORD010002"/>
        <s v="ORD010003"/>
        <s v="ORD010004"/>
        <s v="ORD010005"/>
        <s v="ORD010006"/>
        <s v="ORD010007"/>
        <s v="ORD010008"/>
        <s v="ORD010009"/>
        <s v="ORD010010"/>
        <s v="ORD010011"/>
        <s v="ORD010012"/>
        <s v="ORD010013"/>
        <s v="ORD010014"/>
        <s v="ORD010015"/>
        <s v="ORD010016"/>
        <s v="ORD010017"/>
        <s v="ORD010018"/>
        <s v="ORD010019"/>
        <s v="ORD010020"/>
        <s v="ORD010021"/>
        <s v="ORD010022"/>
        <s v="ORD010023"/>
        <s v="ORD010024"/>
        <s v="ORD010025"/>
        <s v="ORD010026"/>
        <s v="ORD010027"/>
        <s v="ORD010028"/>
        <s v="ORD010029"/>
        <s v="ORD010030"/>
        <s v="ORD010031"/>
        <s v="ORD010032"/>
        <s v="ORD010033"/>
        <s v="ORD010034"/>
        <s v="ORD010035"/>
        <s v="ORD010036"/>
        <s v="ORD010037"/>
        <s v="ORD010038"/>
        <s v="ORD010039"/>
        <s v="ORD010040"/>
        <s v="ORD010041"/>
        <s v="ORD010042"/>
        <s v="ORD010043"/>
        <s v="ORD010044"/>
        <s v="ORD010045"/>
        <s v="ORD010046"/>
        <s v="ORD010047"/>
        <s v="ORD010048"/>
        <s v="ORD010049"/>
        <s v="ORD010050"/>
        <s v="ORD010051"/>
        <s v="ORD010052"/>
        <s v="ORD010053"/>
        <s v="ORD010054"/>
        <s v="ORD010055"/>
        <s v="ORD010056"/>
        <s v="ORD010057"/>
        <s v="ORD010058"/>
        <s v="ORD010059"/>
        <s v="ORD010060"/>
        <s v="ORD010061"/>
        <s v="ORD010062"/>
        <s v="ORD010063"/>
        <s v="ORD010064"/>
        <s v="ORD010065"/>
        <s v="ORD010066"/>
        <s v="ORD010067"/>
        <s v="ORD010068"/>
        <s v="ORD010069"/>
        <s v="ORD010070"/>
        <s v="ORD010071"/>
        <s v="ORD010072"/>
        <s v="ORD010073"/>
        <s v="ORD010074"/>
        <s v="ORD010075"/>
        <s v="ORD010076"/>
        <s v="ORD010077"/>
        <s v="ORD010078"/>
        <s v="ORD010079"/>
        <s v="ORD010080"/>
        <s v="ORD010081"/>
        <s v="ORD010082"/>
        <s v="ORD010083"/>
        <s v="ORD010084"/>
        <s v="ORD010085"/>
        <s v="ORD010086"/>
        <s v="ORD010087"/>
        <s v="ORD010088"/>
        <s v="ORD010089"/>
        <s v="ORD010090"/>
        <s v="ORD010091"/>
        <s v="ORD010092"/>
        <s v="ORD010093"/>
        <s v="ORD010094"/>
        <s v="ORD010095"/>
        <s v="ORD010096"/>
        <s v="ORD010097"/>
        <s v="ORD010098"/>
        <s v="ORD010099"/>
        <s v="ORD010100"/>
        <s v="ORD010101"/>
        <s v="ORD010102"/>
        <s v="ORD010103"/>
        <s v="ORD010104"/>
        <s v="ORD010105"/>
        <s v="ORD010106"/>
        <s v="ORD010107"/>
        <s v="ORD010108"/>
        <s v="ORD010109"/>
        <s v="ORD010110"/>
        <s v="ORD010111"/>
        <s v="ORD010112"/>
        <s v="ORD010113"/>
        <s v="ORD010114"/>
        <s v="ORD010115"/>
        <s v="ORD010116"/>
        <s v="ORD010117"/>
        <s v="ORD010118"/>
        <s v="ORD010119"/>
        <s v="ORD010120"/>
        <s v="ORD010121"/>
        <s v="ORD010122"/>
        <s v="ORD010123"/>
        <s v="ORD010124"/>
        <s v="ORD010125"/>
        <s v="ORD010126"/>
        <s v="ORD010127"/>
        <s v="ORD010128"/>
        <s v="ORD010129"/>
        <s v="ORD010130"/>
        <s v="ORD010131"/>
        <s v="ORD010132"/>
        <s v="ORD010133"/>
        <s v="ORD010134"/>
        <s v="ORD010135"/>
        <s v="ORD010136"/>
        <s v="ORD010137"/>
        <s v="ORD010138"/>
        <s v="ORD010139"/>
        <s v="ORD010140"/>
        <s v="ORD010141"/>
        <s v="ORD010142"/>
        <s v="ORD010143"/>
        <s v="ORD010144"/>
        <s v="ORD010145"/>
        <s v="ORD010146"/>
        <s v="ORD010147"/>
        <s v="ORD010148"/>
        <s v="ORD010149"/>
        <s v="ORD010150"/>
        <s v="ORD010151"/>
        <s v="ORD010152"/>
        <s v="ORD010153"/>
        <s v="ORD010154"/>
        <s v="ORD010155"/>
        <s v="ORD010156"/>
        <s v="ORD010157"/>
        <s v="ORD010158"/>
        <s v="ORD010159"/>
        <s v="ORD010160"/>
        <s v="ORD010161"/>
        <s v="ORD010162"/>
        <s v="ORD010163"/>
        <s v="ORD010164"/>
        <s v="ORD010165"/>
        <s v="ORD010166"/>
        <s v="ORD010167"/>
        <s v="ORD010168"/>
        <s v="ORD010169"/>
        <s v="ORD010170"/>
        <s v="ORD010171"/>
        <s v="ORD010172"/>
        <s v="ORD010173"/>
        <s v="ORD010174"/>
        <s v="ORD010175"/>
        <s v="ORD010176"/>
        <s v="ORD010177"/>
        <s v="ORD010178"/>
        <s v="ORD010179"/>
        <s v="ORD010180"/>
        <s v="ORD010181"/>
        <s v="ORD010182"/>
        <s v="ORD010183"/>
        <s v="ORD010184"/>
        <s v="ORD010185"/>
        <s v="ORD010186"/>
        <s v="ORD010187"/>
        <s v="ORD010188"/>
        <s v="ORD010189"/>
        <s v="ORD010190"/>
        <s v="ORD010191"/>
        <s v="ORD010192"/>
        <s v="ORD010193"/>
        <s v="ORD010194"/>
        <s v="ORD010195"/>
        <s v="ORD010196"/>
        <s v="ORD010197"/>
        <s v="ORD010198"/>
        <s v="ORD010199"/>
        <s v="ORD010200"/>
        <s v="ORD010201"/>
        <s v="ORD010202"/>
        <s v="ORD010203"/>
        <s v="ORD010204"/>
        <s v="ORD010205"/>
        <s v="ORD010206"/>
        <s v="ORD010207"/>
        <s v="ORD010208"/>
        <s v="ORD010209"/>
        <s v="ORD010210"/>
        <s v="ORD010211"/>
        <s v="ORD010212"/>
        <s v="ORD010213"/>
        <s v="ORD010214"/>
        <s v="ORD010215"/>
        <s v="ORD010216"/>
        <s v="ORD010217"/>
        <s v="ORD010218"/>
        <s v="ORD010219"/>
        <s v="ORD010220"/>
        <s v="ORD010221"/>
        <s v="ORD010222"/>
        <s v="ORD010223"/>
        <s v="ORD010224"/>
        <s v="ORD010225"/>
        <s v="ORD010226"/>
        <s v="ORD010227"/>
        <s v="ORD010228"/>
        <s v="ORD010229"/>
        <s v="ORD010230"/>
        <s v="ORD010231"/>
        <s v="ORD010232"/>
        <s v="ORD010233"/>
        <s v="ORD010234"/>
        <s v="ORD010235"/>
        <s v="ORD010236"/>
        <s v="ORD010237"/>
        <s v="ORD010238"/>
        <s v="ORD010239"/>
        <s v="ORD010240"/>
        <s v="ORD010241"/>
        <s v="ORD010242"/>
        <s v="ORD010243"/>
        <s v="ORD010244"/>
        <s v="ORD010245"/>
        <s v="ORD010246"/>
        <s v="ORD010247"/>
        <s v="ORD010248"/>
        <s v="ORD010249"/>
        <s v="ORD010250"/>
        <s v="ORD010251"/>
        <s v="ORD010252"/>
        <s v="ORD010253"/>
        <s v="ORD010254"/>
        <s v="ORD010255"/>
        <s v="ORD010256"/>
        <s v="ORD010257"/>
        <s v="ORD010258"/>
        <s v="ORD010259"/>
        <s v="ORD010260"/>
        <s v="ORD010261"/>
        <s v="ORD010262"/>
        <s v="ORD010263"/>
        <s v="ORD010264"/>
        <s v="ORD010265"/>
        <s v="ORD010266"/>
        <s v="ORD010267"/>
        <s v="ORD010268"/>
        <s v="ORD010269"/>
        <s v="ORD010270"/>
        <s v="ORD010271"/>
        <s v="ORD010272"/>
        <s v="ORD010273"/>
        <s v="ORD010274"/>
        <s v="ORD010275"/>
        <s v="ORD010276"/>
        <s v="ORD010277"/>
        <s v="ORD010278"/>
        <s v="ORD010279"/>
        <s v="ORD010280"/>
        <s v="ORD010281"/>
        <s v="ORD010282"/>
        <s v="ORD010283"/>
        <s v="ORD010284"/>
        <s v="ORD010285"/>
        <s v="ORD010286"/>
        <s v="ORD010287"/>
        <s v="ORD010288"/>
        <s v="ORD010289"/>
        <s v="ORD010290"/>
        <s v="ORD010291"/>
        <s v="ORD010292"/>
        <s v="ORD010293"/>
        <s v="ORD010294"/>
        <s v="ORD010295"/>
        <s v="ORD010296"/>
        <s v="ORD010297"/>
        <s v="ORD010298"/>
        <s v="ORD010299"/>
        <s v="ORD010300"/>
        <s v="ORD010301"/>
        <s v="ORD010302"/>
        <s v="ORD010303"/>
        <s v="ORD010304"/>
        <s v="ORD010305"/>
        <s v="ORD010306"/>
        <s v="ORD010307"/>
        <s v="ORD010308"/>
        <s v="ORD010309"/>
        <s v="ORD010310"/>
        <s v="ORD010311"/>
        <s v="ORD010312"/>
        <s v="ORD010313"/>
        <s v="ORD010314"/>
        <s v="ORD010315"/>
        <s v="ORD010316"/>
        <s v="ORD010317"/>
        <s v="ORD010318"/>
        <s v="ORD010319"/>
        <s v="ORD010320"/>
        <s v="ORD010321"/>
        <s v="ORD010322"/>
        <s v="ORD010323"/>
        <s v="ORD010324"/>
        <s v="ORD010325"/>
        <s v="ORD010326"/>
        <s v="ORD010327"/>
        <s v="ORD010328"/>
        <s v="ORD010329"/>
        <s v="ORD010330"/>
        <s v="ORD010331"/>
        <s v="ORD010332"/>
        <s v="ORD010333"/>
        <s v="ORD010334"/>
        <s v="ORD010335"/>
        <s v="ORD010336"/>
        <s v="ORD010337"/>
        <s v="ORD010338"/>
        <s v="ORD010339"/>
        <s v="ORD010340"/>
        <s v="ORD010341"/>
        <s v="ORD010342"/>
        <s v="ORD010343"/>
        <s v="ORD010344"/>
        <s v="ORD010345"/>
        <s v="ORD010346"/>
        <s v="ORD010347"/>
        <s v="ORD010348"/>
        <s v="ORD010349"/>
        <s v="ORD010350"/>
        <s v="ORD010351"/>
        <s v="ORD010352"/>
        <s v="ORD010353"/>
        <s v="ORD010354"/>
        <s v="ORD010355"/>
        <s v="ORD010356"/>
        <s v="ORD010357"/>
        <s v="ORD010358"/>
        <s v="ORD010359"/>
        <s v="ORD010360"/>
        <s v="ORD010361"/>
        <s v="ORD010362"/>
        <s v="ORD010363"/>
        <s v="ORD010364"/>
        <s v="ORD010365"/>
        <s v="ORD010366"/>
        <s v="ORD010367"/>
        <s v="ORD010368"/>
        <s v="ORD010369"/>
        <s v="ORD010370"/>
        <s v="ORD010371"/>
        <s v="ORD010372"/>
        <s v="ORD010373"/>
        <s v="ORD010374"/>
        <s v="ORD010375"/>
        <s v="ORD010376"/>
        <s v="ORD010377"/>
        <s v="ORD010378"/>
        <s v="ORD010379"/>
        <s v="ORD010380"/>
        <s v="ORD010381"/>
        <s v="ORD010382"/>
        <s v="ORD010383"/>
        <s v="ORD010384"/>
        <s v="ORD010385"/>
        <s v="ORD010386"/>
        <s v="ORD010387"/>
        <s v="ORD010388"/>
        <s v="ORD010389"/>
        <s v="ORD010390"/>
        <s v="ORD010391"/>
        <s v="ORD010392"/>
        <s v="ORD010393"/>
        <s v="ORD010394"/>
        <s v="ORD010395"/>
        <s v="ORD010396"/>
        <s v="ORD010397"/>
        <s v="ORD010398"/>
        <s v="ORD010399"/>
        <s v="ORD010400"/>
        <s v="ORD010401"/>
        <s v="ORD010402"/>
        <s v="ORD010403"/>
        <s v="ORD010404"/>
        <s v="ORD010405"/>
        <s v="ORD010406"/>
        <s v="ORD010407"/>
        <s v="ORD010408"/>
        <s v="ORD010409"/>
        <s v="ORD010410"/>
        <s v="ORD010411"/>
        <s v="ORD010412"/>
        <s v="ORD010413"/>
        <s v="ORD010414"/>
        <s v="ORD010415"/>
        <s v="ORD010416"/>
        <s v="ORD010417"/>
        <s v="ORD010418"/>
        <s v="ORD010419"/>
        <s v="ORD010420"/>
        <s v="ORD010421"/>
        <s v="ORD010422"/>
        <s v="ORD010423"/>
        <s v="ORD010424"/>
        <s v="ORD010425"/>
        <s v="ORD010426"/>
        <s v="ORD010427"/>
        <s v="ORD010428"/>
        <s v="ORD010429"/>
        <s v="ORD010430"/>
        <s v="ORD010431"/>
        <s v="ORD010432"/>
        <s v="ORD010433"/>
        <s v="ORD010434"/>
        <s v="ORD010435"/>
        <s v="ORD010436"/>
        <s v="ORD010437"/>
        <s v="ORD010438"/>
        <s v="ORD010439"/>
        <s v="ORD010440"/>
        <s v="ORD010441"/>
        <s v="ORD010442"/>
        <s v="ORD010443"/>
        <s v="ORD010444"/>
        <s v="ORD010445"/>
        <s v="ORD010446"/>
        <s v="ORD010447"/>
        <s v="ORD010448"/>
        <s v="ORD010449"/>
        <s v="ORD010450"/>
        <s v="ORD010451"/>
        <s v="ORD010452"/>
        <s v="ORD010453"/>
        <s v="ORD010454"/>
        <s v="ORD010455"/>
        <s v="ORD010456"/>
        <s v="ORD010457"/>
        <s v="ORD010458"/>
        <s v="ORD010459"/>
        <s v="ORD010460"/>
        <s v="ORD010461"/>
        <s v="ORD010462"/>
        <s v="ORD010463"/>
        <s v="ORD010464"/>
        <s v="ORD010465"/>
        <s v="ORD010466"/>
        <s v="ORD010467"/>
        <s v="ORD010468"/>
        <s v="ORD010469"/>
        <s v="ORD010470"/>
        <s v="ORD010471"/>
        <s v="ORD010472"/>
        <s v="ORD010473"/>
        <s v="ORD010474"/>
        <s v="ORD010475"/>
        <s v="ORD010476"/>
        <s v="ORD010477"/>
        <s v="ORD010478"/>
        <s v="ORD010479"/>
        <s v="ORD010480"/>
        <s v="ORD010481"/>
        <s v="ORD010482"/>
        <s v="ORD010483"/>
        <s v="ORD010484"/>
        <s v="ORD010485"/>
        <s v="ORD010486"/>
        <s v="ORD010487"/>
        <s v="ORD010488"/>
        <s v="ORD010489"/>
        <s v="ORD010490"/>
        <s v="ORD010491"/>
        <s v="ORD010492"/>
        <s v="ORD010493"/>
        <s v="ORD010494"/>
        <s v="ORD010495"/>
        <s v="ORD010496"/>
        <s v="ORD010497"/>
        <s v="ORD010498"/>
        <s v="ORD010499"/>
        <s v="ORD010500"/>
        <s v="ORD010501"/>
        <s v="ORD010502"/>
        <s v="ORD010503"/>
        <s v="ORD010504"/>
        <s v="ORD010505"/>
        <s v="ORD010506"/>
        <s v="ORD010507"/>
        <s v="ORD010508"/>
        <s v="ORD010509"/>
        <s v="ORD010510"/>
        <s v="ORD010511"/>
        <s v="ORD010512"/>
        <s v="ORD010513"/>
        <s v="ORD010514"/>
        <s v="ORD010515"/>
        <s v="ORD010516"/>
        <s v="ORD010517"/>
        <s v="ORD010518"/>
        <s v="ORD010519"/>
        <s v="ORD010520"/>
        <s v="ORD010521"/>
        <s v="ORD010522"/>
        <s v="ORD010523"/>
        <s v="ORD010524"/>
        <s v="ORD010525"/>
        <s v="ORD010526"/>
        <s v="ORD010527"/>
        <s v="ORD010528"/>
        <s v="ORD010529"/>
        <s v="ORD010530"/>
        <s v="ORD010531"/>
        <s v="ORD010532"/>
        <s v="ORD010533"/>
        <s v="ORD010534"/>
        <s v="ORD010535"/>
        <s v="ORD010536"/>
        <s v="ORD010537"/>
        <s v="ORD010538"/>
        <s v="ORD010539"/>
        <s v="ORD010540"/>
        <s v="ORD010541"/>
        <s v="ORD010542"/>
        <s v="ORD010543"/>
        <s v="ORD010544"/>
        <s v="ORD010545"/>
        <s v="ORD010546"/>
        <s v="ORD010547"/>
        <s v="ORD010548"/>
        <s v="ORD010549"/>
        <s v="ORD010550"/>
        <s v="ORD010551"/>
        <s v="ORD010552"/>
        <s v="ORD010553"/>
        <s v="ORD010554"/>
        <s v="ORD010555"/>
        <s v="ORD010556"/>
        <s v="ORD010557"/>
        <s v="ORD010558"/>
        <s v="ORD010559"/>
        <s v="ORD010560"/>
        <s v="ORD010561"/>
        <s v="ORD010562"/>
        <s v="ORD010563"/>
        <s v="ORD010564"/>
        <s v="ORD010565"/>
        <s v="ORD010566"/>
        <s v="ORD010567"/>
        <s v="ORD010568"/>
        <s v="ORD010569"/>
        <s v="ORD010570"/>
        <s v="ORD010571"/>
        <s v="ORD010572"/>
        <s v="ORD010573"/>
        <s v="ORD010574"/>
        <s v="ORD010575"/>
        <s v="ORD010576"/>
        <s v="ORD010577"/>
        <s v="ORD010578"/>
        <s v="ORD010579"/>
        <s v="ORD010580"/>
        <s v="ORD010581"/>
        <s v="ORD010582"/>
        <s v="ORD010583"/>
        <s v="ORD010584"/>
        <s v="ORD010585"/>
        <s v="ORD010586"/>
        <s v="ORD010587"/>
        <s v="ORD010588"/>
        <s v="ORD010589"/>
        <s v="ORD010590"/>
        <s v="ORD010591"/>
        <s v="ORD010592"/>
        <s v="ORD010593"/>
        <s v="ORD010594"/>
        <s v="ORD010595"/>
        <s v="ORD010596"/>
        <s v="ORD010597"/>
        <s v="ORD010598"/>
        <s v="ORD010599"/>
        <s v="ORD010600"/>
        <s v="ORD010601"/>
        <s v="ORD010602"/>
        <s v="ORD010603"/>
        <s v="ORD010604"/>
        <s v="ORD010605"/>
        <s v="ORD010606"/>
        <s v="ORD010607"/>
        <s v="ORD010608"/>
        <s v="ORD010609"/>
        <s v="ORD010610"/>
        <s v="ORD010611"/>
        <s v="ORD010612"/>
        <s v="ORD010613"/>
        <s v="ORD010614"/>
        <s v="ORD010615"/>
        <s v="ORD010616"/>
        <s v="ORD010617"/>
        <s v="ORD010618"/>
        <s v="ORD010619"/>
        <s v="ORD010620"/>
        <s v="ORD010621"/>
        <s v="ORD010622"/>
        <s v="ORD010623"/>
        <s v="ORD010624"/>
        <s v="ORD010625"/>
        <s v="ORD010626"/>
        <s v="ORD010627"/>
        <s v="ORD010628"/>
        <s v="ORD010629"/>
        <s v="ORD010630"/>
        <s v="ORD010631"/>
        <s v="ORD010632"/>
        <s v="ORD010633"/>
        <s v="ORD010634"/>
        <s v="ORD010635"/>
        <s v="ORD010636"/>
        <s v="ORD010637"/>
        <s v="ORD010638"/>
        <s v="ORD010639"/>
        <s v="ORD010640"/>
        <s v="ORD010641"/>
        <s v="ORD010642"/>
        <s v="ORD010643"/>
        <s v="ORD010644"/>
        <s v="ORD010645"/>
        <s v="ORD010646"/>
        <s v="ORD010647"/>
        <s v="ORD010648"/>
        <s v="ORD010649"/>
        <s v="ORD010650"/>
        <s v="ORD010651"/>
        <s v="ORD010652"/>
        <s v="ORD010653"/>
        <s v="ORD010654"/>
        <s v="ORD010655"/>
        <s v="ORD010656"/>
        <s v="ORD010657"/>
        <s v="ORD010658"/>
        <s v="ORD010659"/>
        <s v="ORD010660"/>
        <s v="ORD010661"/>
        <s v="ORD010662"/>
        <s v="ORD010663"/>
        <s v="ORD010664"/>
        <s v="ORD010665"/>
        <s v="ORD010666"/>
        <s v="ORD010667"/>
        <s v="ORD010668"/>
        <s v="ORD010669"/>
        <s v="ORD010670"/>
        <s v="ORD010671"/>
        <s v="ORD010672"/>
        <s v="ORD010673"/>
        <s v="ORD010674"/>
        <s v="ORD010675"/>
        <s v="ORD010676"/>
        <s v="ORD010677"/>
        <s v="ORD010678"/>
        <s v="ORD010679"/>
        <s v="ORD010680"/>
        <s v="ORD010681"/>
        <s v="ORD010682"/>
        <s v="ORD010683"/>
        <s v="ORD010684"/>
        <s v="ORD010685"/>
        <s v="ORD010686"/>
        <s v="ORD010687"/>
        <s v="ORD010688"/>
        <s v="ORD010689"/>
        <s v="ORD010690"/>
        <s v="ORD010691"/>
        <s v="ORD010692"/>
        <s v="ORD010693"/>
        <s v="ORD010694"/>
        <s v="ORD010695"/>
        <s v="ORD010696"/>
        <s v="ORD010697"/>
        <s v="ORD010698"/>
        <s v="ORD010699"/>
        <s v="ORD010700"/>
        <s v="ORD010701"/>
        <s v="ORD010702"/>
        <s v="ORD010703"/>
        <s v="ORD010704"/>
        <s v="ORD010705"/>
        <s v="ORD010706"/>
        <s v="ORD010707"/>
        <s v="ORD010708"/>
        <s v="ORD010709"/>
        <s v="ORD010710"/>
        <s v="ORD010711"/>
        <s v="ORD010712"/>
        <s v="ORD010713"/>
        <s v="ORD010714"/>
        <s v="ORD010715"/>
        <s v="ORD010716"/>
        <s v="ORD010717"/>
        <s v="ORD010718"/>
        <s v="ORD010719"/>
        <s v="ORD010720"/>
        <s v="ORD010721"/>
        <s v="ORD010722"/>
        <s v="ORD010723"/>
        <s v="ORD010724"/>
        <s v="ORD010725"/>
        <s v="ORD010726"/>
        <s v="ORD010727"/>
        <s v="ORD010728"/>
        <s v="ORD010729"/>
        <s v="ORD010730"/>
        <s v="ORD010731"/>
        <s v="ORD010732"/>
        <s v="ORD010733"/>
        <s v="ORD010734"/>
        <s v="ORD010735"/>
        <s v="ORD010736"/>
        <s v="ORD010737"/>
        <s v="ORD010738"/>
        <s v="ORD010739"/>
        <s v="ORD010740"/>
        <s v="ORD010741"/>
        <s v="ORD010742"/>
        <s v="ORD010743"/>
        <s v="ORD010744"/>
        <s v="ORD010745"/>
        <s v="ORD010746"/>
        <s v="ORD010747"/>
        <s v="ORD010748"/>
        <s v="ORD010749"/>
        <s v="ORD010750"/>
        <s v="ORD010751"/>
        <s v="ORD010752"/>
        <s v="ORD010753"/>
        <s v="ORD010754"/>
        <s v="ORD010755"/>
        <s v="ORD010756"/>
        <s v="ORD010757"/>
        <s v="ORD010758"/>
        <s v="ORD010759"/>
        <s v="ORD010760"/>
        <s v="ORD010761"/>
        <s v="ORD010762"/>
        <s v="ORD010763"/>
        <s v="ORD010764"/>
        <s v="ORD010765"/>
        <s v="ORD010766"/>
        <s v="ORD010767"/>
        <s v="ORD010768"/>
        <s v="ORD010769"/>
        <s v="ORD010770"/>
        <s v="ORD010771"/>
        <s v="ORD010772"/>
        <s v="ORD010773"/>
        <s v="ORD010774"/>
        <s v="ORD010775"/>
        <s v="ORD010776"/>
        <s v="ORD010777"/>
        <s v="ORD010778"/>
        <s v="ORD010779"/>
        <s v="ORD010780"/>
        <s v="ORD010781"/>
        <s v="ORD010782"/>
        <s v="ORD010783"/>
        <s v="ORD010784"/>
        <s v="ORD010785"/>
        <s v="ORD010786"/>
        <s v="ORD010787"/>
        <s v="ORD010788"/>
        <s v="ORD010789"/>
        <s v="ORD010790"/>
        <s v="ORD010791"/>
        <s v="ORD010792"/>
        <s v="ORD010793"/>
        <s v="ORD010794"/>
        <s v="ORD010795"/>
        <s v="ORD010796"/>
        <s v="ORD010797"/>
        <s v="ORD010798"/>
        <s v="ORD010799"/>
        <s v="ORD010800"/>
        <s v="ORD010801"/>
        <s v="ORD010802"/>
        <s v="ORD010803"/>
        <s v="ORD010804"/>
        <s v="ORD010805"/>
        <s v="ORD010806"/>
        <s v="ORD010807"/>
        <s v="ORD010808"/>
        <s v="ORD010809"/>
        <s v="ORD010810"/>
        <s v="ORD010811"/>
        <s v="ORD010812"/>
        <s v="ORD010813"/>
        <s v="ORD010814"/>
        <s v="ORD010815"/>
        <s v="ORD010816"/>
        <s v="ORD010817"/>
        <s v="ORD010818"/>
        <s v="ORD010819"/>
        <s v="ORD010820"/>
        <s v="ORD010821"/>
        <s v="ORD010822"/>
        <s v="ORD010823"/>
        <s v="ORD010824"/>
        <s v="ORD010825"/>
        <s v="ORD010826"/>
        <s v="ORD010827"/>
        <s v="ORD010828"/>
        <s v="ORD010829"/>
        <s v="ORD010830"/>
        <s v="ORD010831"/>
        <s v="ORD010832"/>
        <s v="ORD010833"/>
        <s v="ORD010834"/>
        <s v="ORD010835"/>
        <s v="ORD010836"/>
        <s v="ORD010837"/>
        <s v="ORD010838"/>
        <s v="ORD010839"/>
        <s v="ORD010840"/>
        <s v="ORD010841"/>
        <s v="ORD010842"/>
        <s v="ORD010843"/>
        <s v="ORD010844"/>
        <s v="ORD010845"/>
        <s v="ORD010846"/>
        <s v="ORD010847"/>
        <s v="ORD010848"/>
        <s v="ORD010849"/>
        <s v="ORD010850"/>
        <s v="ORD010851"/>
        <s v="ORD010852"/>
        <s v="ORD010853"/>
        <s v="ORD010854"/>
        <s v="ORD010855"/>
        <s v="ORD010856"/>
        <s v="ORD010857"/>
        <s v="ORD010858"/>
        <s v="ORD010859"/>
        <s v="ORD010860"/>
        <s v="ORD010861"/>
        <s v="ORD010862"/>
        <s v="ORD010863"/>
        <s v="ORD010864"/>
        <s v="ORD010865"/>
        <s v="ORD010866"/>
        <s v="ORD010867"/>
        <s v="ORD010868"/>
        <s v="ORD010869"/>
        <s v="ORD010870"/>
        <s v="ORD010871"/>
        <s v="ORD010872"/>
        <s v="ORD010873"/>
        <s v="ORD010874"/>
        <s v="ORD010875"/>
        <s v="ORD010876"/>
        <s v="ORD010877"/>
        <s v="ORD010878"/>
        <s v="ORD010879"/>
        <s v="ORD010880"/>
        <s v="ORD010881"/>
        <s v="ORD010882"/>
        <s v="ORD010883"/>
        <s v="ORD010884"/>
        <s v="ORD010885"/>
        <s v="ORD010886"/>
        <s v="ORD010887"/>
        <s v="ORD010888"/>
        <s v="ORD010889"/>
        <s v="ORD010890"/>
        <s v="ORD010891"/>
        <s v="ORD010892"/>
        <s v="ORD010893"/>
        <s v="ORD010894"/>
        <s v="ORD010895"/>
        <s v="ORD010896"/>
        <s v="ORD010897"/>
        <s v="ORD010898"/>
        <s v="ORD010899"/>
        <s v="ORD010900"/>
        <s v="ORD010901"/>
        <s v="ORD010902"/>
        <s v="ORD010903"/>
        <s v="ORD010904"/>
        <s v="ORD010905"/>
        <s v="ORD010906"/>
        <s v="ORD010907"/>
        <s v="ORD010908"/>
        <s v="ORD010909"/>
        <s v="ORD010910"/>
        <s v="ORD010911"/>
        <s v="ORD010912"/>
        <s v="ORD010913"/>
        <s v="ORD010914"/>
        <s v="ORD010915"/>
        <s v="ORD010916"/>
        <s v="ORD010917"/>
        <s v="ORD010918"/>
        <s v="ORD010919"/>
        <s v="ORD010920"/>
        <s v="ORD010921"/>
        <s v="ORD010922"/>
        <s v="ORD010923"/>
        <s v="ORD010924"/>
        <s v="ORD010925"/>
        <s v="ORD010926"/>
        <s v="ORD010927"/>
        <s v="ORD010928"/>
        <s v="ORD010929"/>
        <s v="ORD010930"/>
        <s v="ORD010931"/>
        <s v="ORD010932"/>
        <s v="ORD010933"/>
        <s v="ORD010934"/>
        <s v="ORD010935"/>
        <s v="ORD010936"/>
        <s v="ORD010937"/>
        <s v="ORD010938"/>
        <s v="ORD010939"/>
        <s v="ORD010940"/>
        <s v="ORD010941"/>
        <s v="ORD010942"/>
        <s v="ORD010943"/>
        <s v="ORD010944"/>
        <s v="ORD010945"/>
        <s v="ORD010946"/>
        <s v="ORD010947"/>
        <s v="ORD010948"/>
        <s v="ORD010949"/>
        <s v="ORD010950"/>
        <s v="ORD010951"/>
        <s v="ORD010952"/>
        <s v="ORD010953"/>
        <s v="ORD010954"/>
        <s v="ORD010955"/>
        <s v="ORD010956"/>
        <s v="ORD010957"/>
        <s v="ORD010958"/>
        <s v="ORD010959"/>
        <s v="ORD010960"/>
        <s v="ORD010961"/>
        <s v="ORD010962"/>
        <s v="ORD010963"/>
        <s v="ORD010964"/>
        <s v="ORD010965"/>
        <s v="ORD010966"/>
        <s v="ORD010967"/>
        <s v="ORD010968"/>
        <s v="ORD010969"/>
        <s v="ORD010970"/>
        <s v="ORD010971"/>
        <s v="ORD010972"/>
        <s v="ORD010973"/>
        <s v="ORD010974"/>
        <s v="ORD010975"/>
        <s v="ORD010976"/>
        <s v="ORD010977"/>
        <s v="ORD010978"/>
        <s v="ORD010979"/>
        <s v="ORD010980"/>
        <s v="ORD010981"/>
        <s v="ORD010982"/>
        <s v="ORD010983"/>
        <s v="ORD010984"/>
        <s v="ORD010985"/>
        <s v="ORD010986"/>
        <s v="ORD010987"/>
        <s v="ORD010988"/>
        <s v="ORD010989"/>
        <s v="ORD010990"/>
        <s v="ORD010991"/>
        <s v="ORD010992"/>
        <s v="ORD010993"/>
        <s v="ORD010994"/>
        <s v="ORD010995"/>
        <s v="ORD010996"/>
        <s v="ORD010997"/>
        <s v="ORD010998"/>
      </sharedItems>
    </cacheField>
    <cacheField name="Customer_ID" numFmtId="0">
      <sharedItems/>
    </cacheField>
    <cacheField name="City" numFmtId="0">
      <sharedItems count="10">
        <s v="Chennai"/>
        <s v="Madurai"/>
        <s v="Bangalore"/>
        <s v="Trichy"/>
        <s v="Kolkata"/>
        <s v="Delhi"/>
        <s v="Pune"/>
        <s v="Coimbatore"/>
        <s v="Hyderabad"/>
        <s v="Mumbai"/>
      </sharedItems>
    </cacheField>
    <cacheField name="State" numFmtId="0">
      <sharedItems/>
    </cacheField>
    <cacheField name="Category" numFmtId="0">
      <sharedItems count="5">
        <s v="Home"/>
        <s v="Fashion"/>
        <s v="Electronics"/>
        <s v="Beauty"/>
        <s v="Grocery"/>
      </sharedItems>
    </cacheField>
    <cacheField name="Sub_Category" numFmtId="0">
      <sharedItems/>
    </cacheField>
    <cacheField name="Product" numFmtId="0">
      <sharedItems/>
    </cacheField>
    <cacheField name="Qty" numFmtId="0">
      <sharedItems containsSemiMixedTypes="0" containsString="0" containsNumber="1" containsInteger="1" minValue="1" maxValue="3"/>
    </cacheField>
    <cacheField name="Price" numFmtId="0">
      <sharedItems containsSemiMixedTypes="0" containsString="0" containsNumber="1" containsInteger="1" minValue="51" maxValue="39859"/>
    </cacheField>
    <cacheField name="Discount_%" numFmtId="0">
      <sharedItems containsSemiMixedTypes="0" containsString="0" containsNumber="1" containsInteger="1" minValue="0" maxValue="20"/>
    </cacheField>
    <cacheField name="Discount_Amt" numFmtId="0">
      <sharedItems containsSemiMixedTypes="0" containsString="0" containsNumber="1" minValue="0" maxValue="19302.599999999999"/>
    </cacheField>
    <cacheField name="Final_Price" numFmtId="0">
      <sharedItems containsSemiMixedTypes="0" containsString="0" containsNumber="1" minValue="43.35" maxValue="100632"/>
    </cacheField>
    <cacheField name="Payment_Mode" numFmtId="0">
      <sharedItems count="5">
        <s v="UPI"/>
        <s v="Net Banking"/>
        <s v="COD"/>
        <s v="Credit Card"/>
        <s v="Debit Card"/>
      </sharedItems>
    </cacheField>
    <cacheField name="Delivery_Days" numFmtId="0">
      <sharedItems containsSemiMixedTypes="0" containsString="0" containsNumber="1" containsInteger="1" minValue="1" maxValue="8"/>
    </cacheField>
    <cacheField name="RTO" numFmtId="0">
      <sharedItems count="2">
        <s v="No"/>
        <s v="Yes"/>
      </sharedItems>
    </cacheField>
    <cacheField name="Months (Order_Date)" numFmtId="0" databaseField="0">
      <fieldGroup base="0">
        <rangePr groupBy="months" startDate="2022-06-27T00:00:00" endDate="2025-03-22T00:00:00"/>
        <groupItems count="14">
          <s v="&lt;27-06-2022"/>
          <s v="Jan"/>
          <s v="Feb"/>
          <s v="Mar"/>
          <s v="Apr"/>
          <s v="May"/>
          <s v="Jun"/>
          <s v="Jul"/>
          <s v="Aug"/>
          <s v="Sep"/>
          <s v="Oct"/>
          <s v="Nov"/>
          <s v="Dec"/>
          <s v="&gt;22-03-2025"/>
        </groupItems>
      </fieldGroup>
    </cacheField>
    <cacheField name="Years (Order_Date)" numFmtId="0" databaseField="0">
      <fieldGroup base="0">
        <rangePr groupBy="years" startDate="2022-06-27T00:00:00" endDate="2025-03-22T00:00:00"/>
        <groupItems count="6">
          <s v="&lt;27-06-2022"/>
          <s v="2022"/>
          <s v="2023"/>
          <s v="2024"/>
          <s v="2025"/>
          <s v="&gt;22-03-2025"/>
        </groupItems>
      </fieldGroup>
    </cacheField>
  </cacheFields>
  <extLst>
    <ext xmlns:x14="http://schemas.microsoft.com/office/spreadsheetml/2009/9/main" uri="{725AE2AE-9491-48be-B2B4-4EB974FC3084}">
      <x14:pivotCacheDefinition pivotCacheId="556778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s v="CUST00058"/>
    <x v="0"/>
    <s v="Tamil Nadu"/>
    <x v="0"/>
    <s v="Mixer"/>
    <s v="Mixer Lite"/>
    <n v="1"/>
    <n v="1012"/>
    <n v="0"/>
    <n v="0"/>
    <n v="1012"/>
    <x v="0"/>
    <n v="2"/>
    <x v="0"/>
  </r>
  <r>
    <x v="1"/>
    <x v="1"/>
    <s v="CUST00014"/>
    <x v="1"/>
    <s v="Tamil Nadu"/>
    <x v="1"/>
    <s v="Handbag"/>
    <s v="Handbag Plus"/>
    <n v="1"/>
    <n v="2678"/>
    <n v="10"/>
    <n v="267.8"/>
    <n v="2410.1999999999998"/>
    <x v="0"/>
    <n v="2"/>
    <x v="0"/>
  </r>
  <r>
    <x v="2"/>
    <x v="2"/>
    <s v="CUST00173"/>
    <x v="2"/>
    <s v="Karnataka"/>
    <x v="2"/>
    <s v="Smart Watch"/>
    <s v="Smart Watch Pro"/>
    <n v="1"/>
    <n v="23041"/>
    <n v="5"/>
    <n v="1152.05"/>
    <n v="21888.95"/>
    <x v="1"/>
    <n v="2"/>
    <x v="0"/>
  </r>
  <r>
    <x v="3"/>
    <x v="3"/>
    <s v="CUST00151"/>
    <x v="3"/>
    <s v="Tamil Nadu"/>
    <x v="0"/>
    <s v="Dinner Set"/>
    <s v="Dinner Set Lite"/>
    <n v="2"/>
    <n v="6632"/>
    <n v="15"/>
    <n v="1989.6"/>
    <n v="11274.4"/>
    <x v="2"/>
    <n v="5"/>
    <x v="0"/>
  </r>
  <r>
    <x v="4"/>
    <x v="4"/>
    <s v="CUST00084"/>
    <x v="4"/>
    <s v="West Bengal"/>
    <x v="0"/>
    <s v="Mixer"/>
    <s v="Mixer Max"/>
    <n v="2"/>
    <n v="4675"/>
    <n v="0"/>
    <n v="0"/>
    <n v="9350"/>
    <x v="3"/>
    <n v="5"/>
    <x v="0"/>
  </r>
  <r>
    <x v="5"/>
    <x v="5"/>
    <s v="CUST00286"/>
    <x v="5"/>
    <s v="Delhi"/>
    <x v="0"/>
    <s v="Bedsheet"/>
    <s v="Bedsheet Lite"/>
    <n v="2"/>
    <n v="2493"/>
    <n v="15"/>
    <n v="747.9"/>
    <n v="4238.1000000000004"/>
    <x v="4"/>
    <n v="3"/>
    <x v="0"/>
  </r>
  <r>
    <x v="6"/>
    <x v="6"/>
    <s v="CUST00256"/>
    <x v="6"/>
    <s v="Maharashtra"/>
    <x v="3"/>
    <s v="Shampoo"/>
    <s v="Shampoo Max"/>
    <n v="1"/>
    <n v="1679"/>
    <n v="5"/>
    <n v="83.95"/>
    <n v="1595.05"/>
    <x v="4"/>
    <n v="2"/>
    <x v="0"/>
  </r>
  <r>
    <x v="7"/>
    <x v="7"/>
    <s v="CUST00261"/>
    <x v="7"/>
    <s v="Tamil Nadu"/>
    <x v="2"/>
    <s v="Mobile"/>
    <s v="Mobile Pro"/>
    <n v="1"/>
    <n v="10984"/>
    <n v="5"/>
    <n v="549.20000000000005"/>
    <n v="10434.799999999999"/>
    <x v="1"/>
    <n v="3"/>
    <x v="0"/>
  </r>
  <r>
    <x v="8"/>
    <x v="8"/>
    <s v="CUST00006"/>
    <x v="2"/>
    <s v="Karnataka"/>
    <x v="4"/>
    <s v="Oil"/>
    <s v="Oil Max"/>
    <n v="1"/>
    <n v="589"/>
    <n v="20"/>
    <n v="117.8"/>
    <n v="471.2"/>
    <x v="2"/>
    <n v="4"/>
    <x v="0"/>
  </r>
  <r>
    <x v="9"/>
    <x v="9"/>
    <s v="CUST00153"/>
    <x v="1"/>
    <s v="Tamil Nadu"/>
    <x v="4"/>
    <s v="Dal"/>
    <s v="Dal Lite"/>
    <n v="1"/>
    <n v="51"/>
    <n v="5"/>
    <n v="2.5499999999999998"/>
    <n v="48.45"/>
    <x v="3"/>
    <n v="1"/>
    <x v="0"/>
  </r>
  <r>
    <x v="10"/>
    <x v="10"/>
    <s v="CUST00158"/>
    <x v="5"/>
    <s v="Delhi"/>
    <x v="2"/>
    <s v="Laptop"/>
    <s v="Laptop Classic"/>
    <n v="3"/>
    <n v="6113"/>
    <n v="10"/>
    <n v="1833.9"/>
    <n v="16505.099999999999"/>
    <x v="0"/>
    <n v="2"/>
    <x v="0"/>
  </r>
  <r>
    <x v="11"/>
    <x v="11"/>
    <s v="CUST00085"/>
    <x v="8"/>
    <s v="Telangana"/>
    <x v="4"/>
    <s v="Snacks"/>
    <s v="Snacks Plus"/>
    <n v="3"/>
    <n v="867"/>
    <n v="20"/>
    <n v="520.20000000000005"/>
    <n v="2080.8000000000002"/>
    <x v="4"/>
    <n v="2"/>
    <x v="0"/>
  </r>
  <r>
    <x v="12"/>
    <x v="12"/>
    <s v="CUST00232"/>
    <x v="2"/>
    <s v="Karnataka"/>
    <x v="1"/>
    <s v="Jeans"/>
    <s v="Jeans Pro"/>
    <n v="1"/>
    <n v="4937"/>
    <n v="0"/>
    <n v="0"/>
    <n v="4937"/>
    <x v="2"/>
    <n v="2"/>
    <x v="1"/>
  </r>
  <r>
    <x v="13"/>
    <x v="13"/>
    <s v="CUST00170"/>
    <x v="2"/>
    <s v="Karnataka"/>
    <x v="4"/>
    <s v="Dal"/>
    <s v="Dal Max"/>
    <n v="1"/>
    <n v="1219"/>
    <n v="5"/>
    <n v="60.95"/>
    <n v="1158.05"/>
    <x v="0"/>
    <n v="2"/>
    <x v="0"/>
  </r>
  <r>
    <x v="14"/>
    <x v="14"/>
    <s v="CUST00098"/>
    <x v="2"/>
    <s v="Karnataka"/>
    <x v="2"/>
    <s v="Smart Watch"/>
    <s v="Smart Watch Max"/>
    <n v="1"/>
    <n v="31106"/>
    <n v="0"/>
    <n v="0"/>
    <n v="31106"/>
    <x v="3"/>
    <n v="2"/>
    <x v="0"/>
  </r>
  <r>
    <x v="15"/>
    <x v="15"/>
    <s v="CUST00128"/>
    <x v="5"/>
    <s v="Delhi"/>
    <x v="1"/>
    <s v="Handbag"/>
    <s v="Handbag Plus"/>
    <n v="1"/>
    <n v="2681"/>
    <n v="5"/>
    <n v="134.05000000000001"/>
    <n v="2546.9499999999998"/>
    <x v="2"/>
    <n v="4"/>
    <x v="1"/>
  </r>
  <r>
    <x v="16"/>
    <x v="16"/>
    <s v="CUST00008"/>
    <x v="2"/>
    <s v="Karnataka"/>
    <x v="1"/>
    <s v="Jeans"/>
    <s v="Jeans Plus"/>
    <n v="1"/>
    <n v="3685"/>
    <n v="5"/>
    <n v="184.25"/>
    <n v="3500.75"/>
    <x v="1"/>
    <n v="2"/>
    <x v="0"/>
  </r>
  <r>
    <x v="17"/>
    <x v="17"/>
    <s v="CUST00147"/>
    <x v="6"/>
    <s v="Maharashtra"/>
    <x v="4"/>
    <s v="Spices"/>
    <s v="Spices Lite"/>
    <n v="1"/>
    <n v="1160"/>
    <n v="0"/>
    <n v="0"/>
    <n v="1160"/>
    <x v="0"/>
    <n v="1"/>
    <x v="0"/>
  </r>
  <r>
    <x v="18"/>
    <x v="18"/>
    <s v="CUST00258"/>
    <x v="1"/>
    <s v="Tamil Nadu"/>
    <x v="1"/>
    <s v="T-Shirt"/>
    <s v="T-Shirt Classic"/>
    <n v="1"/>
    <n v="961"/>
    <n v="15"/>
    <n v="144.15"/>
    <n v="816.85"/>
    <x v="3"/>
    <n v="4"/>
    <x v="0"/>
  </r>
  <r>
    <x v="19"/>
    <x v="19"/>
    <s v="CUST00127"/>
    <x v="3"/>
    <s v="Tamil Nadu"/>
    <x v="4"/>
    <s v="Rice"/>
    <s v="Rice Classic"/>
    <n v="1"/>
    <n v="468"/>
    <n v="10"/>
    <n v="46.8"/>
    <n v="421.2"/>
    <x v="0"/>
    <n v="2"/>
    <x v="0"/>
  </r>
  <r>
    <x v="20"/>
    <x v="20"/>
    <s v="CUST00154"/>
    <x v="7"/>
    <s v="Tamil Nadu"/>
    <x v="0"/>
    <s v="Bedsheet"/>
    <s v="Bedsheet Pro"/>
    <n v="1"/>
    <n v="900"/>
    <n v="5"/>
    <n v="45"/>
    <n v="855"/>
    <x v="0"/>
    <n v="2"/>
    <x v="0"/>
  </r>
  <r>
    <x v="21"/>
    <x v="21"/>
    <s v="CUST00126"/>
    <x v="4"/>
    <s v="West Bengal"/>
    <x v="0"/>
    <s v="Mixer"/>
    <s v="Mixer Plus"/>
    <n v="2"/>
    <n v="364"/>
    <n v="0"/>
    <n v="0"/>
    <n v="728"/>
    <x v="4"/>
    <n v="4"/>
    <x v="0"/>
  </r>
  <r>
    <x v="22"/>
    <x v="22"/>
    <s v="CUST00136"/>
    <x v="2"/>
    <s v="Karnataka"/>
    <x v="2"/>
    <s v="Power Bank"/>
    <s v="Power Bank Lite"/>
    <n v="1"/>
    <n v="14303"/>
    <n v="15"/>
    <n v="2145.4499999999998"/>
    <n v="12157.55"/>
    <x v="3"/>
    <n v="2"/>
    <x v="0"/>
  </r>
  <r>
    <x v="23"/>
    <x v="23"/>
    <s v="CUST00048"/>
    <x v="6"/>
    <s v="Maharashtra"/>
    <x v="0"/>
    <s v="Bedsheet"/>
    <s v="Bedsheet Pro"/>
    <n v="1"/>
    <n v="1623"/>
    <n v="5"/>
    <n v="81.150000000000006"/>
    <n v="1541.85"/>
    <x v="3"/>
    <n v="1"/>
    <x v="0"/>
  </r>
  <r>
    <x v="24"/>
    <x v="24"/>
    <s v="CUST00077"/>
    <x v="1"/>
    <s v="Tamil Nadu"/>
    <x v="2"/>
    <s v="Headphones"/>
    <s v="Headphones Classic"/>
    <n v="1"/>
    <n v="28666"/>
    <n v="15"/>
    <n v="4299.8999999999996"/>
    <n v="24366.1"/>
    <x v="2"/>
    <n v="8"/>
    <x v="0"/>
  </r>
  <r>
    <x v="25"/>
    <x v="25"/>
    <s v="CUST00128"/>
    <x v="2"/>
    <s v="Karnataka"/>
    <x v="0"/>
    <s v="Dinner Set"/>
    <s v="Dinner Set Plus"/>
    <n v="3"/>
    <n v="7382"/>
    <n v="15"/>
    <n v="3321.9"/>
    <n v="18824.099999999999"/>
    <x v="0"/>
    <n v="3"/>
    <x v="0"/>
  </r>
  <r>
    <x v="26"/>
    <x v="26"/>
    <s v="CUST00211"/>
    <x v="5"/>
    <s v="Delhi"/>
    <x v="0"/>
    <s v="Mixer"/>
    <s v="Mixer Pro"/>
    <n v="1"/>
    <n v="2122"/>
    <n v="5"/>
    <n v="106.1"/>
    <n v="2015.9"/>
    <x v="2"/>
    <n v="5"/>
    <x v="0"/>
  </r>
  <r>
    <x v="27"/>
    <x v="27"/>
    <s v="CUST00099"/>
    <x v="6"/>
    <s v="Maharashtra"/>
    <x v="0"/>
    <s v="Cooker"/>
    <s v="Cooker Pro"/>
    <n v="3"/>
    <n v="5555"/>
    <n v="10"/>
    <n v="1666.5"/>
    <n v="14998.5"/>
    <x v="2"/>
    <n v="3"/>
    <x v="1"/>
  </r>
  <r>
    <x v="28"/>
    <x v="28"/>
    <s v="CUST00136"/>
    <x v="0"/>
    <s v="Tamil Nadu"/>
    <x v="2"/>
    <s v="Power Bank"/>
    <s v="Power Bank Plus"/>
    <n v="1"/>
    <n v="21057"/>
    <n v="5"/>
    <n v="1052.8499999999999"/>
    <n v="20004.150000000001"/>
    <x v="4"/>
    <n v="2"/>
    <x v="0"/>
  </r>
  <r>
    <x v="29"/>
    <x v="29"/>
    <s v="CUST00224"/>
    <x v="0"/>
    <s v="Tamil Nadu"/>
    <x v="4"/>
    <s v="Snacks"/>
    <s v="Snacks Lite"/>
    <n v="1"/>
    <n v="1408"/>
    <n v="15"/>
    <n v="211.2"/>
    <n v="1196.8"/>
    <x v="2"/>
    <n v="3"/>
    <x v="0"/>
  </r>
  <r>
    <x v="30"/>
    <x v="30"/>
    <s v="CUST00168"/>
    <x v="6"/>
    <s v="Maharashtra"/>
    <x v="0"/>
    <s v="Dinner Set"/>
    <s v="Dinner Set Lite"/>
    <n v="1"/>
    <n v="5342"/>
    <n v="5"/>
    <n v="267.10000000000002"/>
    <n v="5074.8999999999996"/>
    <x v="2"/>
    <n v="3"/>
    <x v="0"/>
  </r>
  <r>
    <x v="31"/>
    <x v="31"/>
    <s v="CUST00165"/>
    <x v="7"/>
    <s v="Tamil Nadu"/>
    <x v="3"/>
    <s v="Perfume"/>
    <s v="Perfume Lite"/>
    <n v="1"/>
    <n v="1205"/>
    <n v="10"/>
    <n v="120.5"/>
    <n v="1084.5"/>
    <x v="0"/>
    <n v="4"/>
    <x v="0"/>
  </r>
  <r>
    <x v="32"/>
    <x v="32"/>
    <s v="CUST00159"/>
    <x v="5"/>
    <s v="Delhi"/>
    <x v="1"/>
    <s v="Jeans"/>
    <s v="Jeans Pro"/>
    <n v="1"/>
    <n v="996"/>
    <n v="5"/>
    <n v="49.8"/>
    <n v="946.2"/>
    <x v="2"/>
    <n v="3"/>
    <x v="0"/>
  </r>
  <r>
    <x v="33"/>
    <x v="33"/>
    <s v="CUST00003"/>
    <x v="2"/>
    <s v="Karnataka"/>
    <x v="3"/>
    <s v="Shampoo"/>
    <s v="Shampoo Lite"/>
    <n v="2"/>
    <n v="1291"/>
    <n v="15"/>
    <n v="387.3"/>
    <n v="2194.6999999999998"/>
    <x v="0"/>
    <n v="1"/>
    <x v="0"/>
  </r>
  <r>
    <x v="34"/>
    <x v="34"/>
    <s v="CUST00272"/>
    <x v="1"/>
    <s v="Tamil Nadu"/>
    <x v="4"/>
    <s v="Oil"/>
    <s v="Oil Plus"/>
    <n v="1"/>
    <n v="963"/>
    <n v="15"/>
    <n v="144.44999999999999"/>
    <n v="818.55"/>
    <x v="2"/>
    <n v="6"/>
    <x v="0"/>
  </r>
  <r>
    <x v="35"/>
    <x v="35"/>
    <s v="CUST00142"/>
    <x v="1"/>
    <s v="Tamil Nadu"/>
    <x v="3"/>
    <s v="Shampoo"/>
    <s v="Shampoo Max"/>
    <n v="1"/>
    <n v="837"/>
    <n v="15"/>
    <n v="125.55"/>
    <n v="711.45"/>
    <x v="0"/>
    <n v="2"/>
    <x v="0"/>
  </r>
  <r>
    <x v="36"/>
    <x v="36"/>
    <s v="CUST00079"/>
    <x v="5"/>
    <s v="Delhi"/>
    <x v="2"/>
    <s v="Smart Watch"/>
    <s v="Smart Watch Plus"/>
    <n v="1"/>
    <n v="31034"/>
    <n v="5"/>
    <n v="1551.7"/>
    <n v="29482.3"/>
    <x v="2"/>
    <n v="5"/>
    <x v="1"/>
  </r>
  <r>
    <x v="37"/>
    <x v="37"/>
    <s v="CUST00195"/>
    <x v="7"/>
    <s v="Tamil Nadu"/>
    <x v="2"/>
    <s v="Headphones"/>
    <s v="Headphones Max"/>
    <n v="2"/>
    <n v="27960"/>
    <n v="10"/>
    <n v="5592"/>
    <n v="50328"/>
    <x v="2"/>
    <n v="6"/>
    <x v="0"/>
  </r>
  <r>
    <x v="38"/>
    <x v="38"/>
    <s v="CUST00015"/>
    <x v="6"/>
    <s v="Maharashtra"/>
    <x v="0"/>
    <s v="Curtains"/>
    <s v="Curtains Lite"/>
    <n v="2"/>
    <n v="520"/>
    <n v="5"/>
    <n v="52"/>
    <n v="988"/>
    <x v="0"/>
    <n v="3"/>
    <x v="0"/>
  </r>
  <r>
    <x v="39"/>
    <x v="39"/>
    <s v="CUST00237"/>
    <x v="9"/>
    <s v="Maharashtra"/>
    <x v="2"/>
    <s v="Headphones"/>
    <s v="Headphones Plus"/>
    <n v="1"/>
    <n v="30299"/>
    <n v="0"/>
    <n v="0"/>
    <n v="30299"/>
    <x v="1"/>
    <n v="2"/>
    <x v="0"/>
  </r>
  <r>
    <x v="40"/>
    <x v="40"/>
    <s v="CUST00241"/>
    <x v="0"/>
    <s v="Tamil Nadu"/>
    <x v="4"/>
    <s v="Rice"/>
    <s v="Rice Max"/>
    <n v="1"/>
    <n v="556"/>
    <n v="0"/>
    <n v="0"/>
    <n v="556"/>
    <x v="0"/>
    <n v="2"/>
    <x v="0"/>
  </r>
  <r>
    <x v="41"/>
    <x v="41"/>
    <s v="CUST00243"/>
    <x v="2"/>
    <s v="Karnataka"/>
    <x v="4"/>
    <s v="Dal"/>
    <s v="Dal Plus"/>
    <n v="1"/>
    <n v="284"/>
    <n v="10"/>
    <n v="28.4"/>
    <n v="255.6"/>
    <x v="0"/>
    <n v="2"/>
    <x v="0"/>
  </r>
  <r>
    <x v="42"/>
    <x v="42"/>
    <s v="CUST00014"/>
    <x v="8"/>
    <s v="Telangana"/>
    <x v="4"/>
    <s v="Spices"/>
    <s v="Spices Plus"/>
    <n v="3"/>
    <n v="1334"/>
    <n v="0"/>
    <n v="0"/>
    <n v="4002"/>
    <x v="4"/>
    <n v="2"/>
    <x v="0"/>
  </r>
  <r>
    <x v="43"/>
    <x v="43"/>
    <s v="CUST00062"/>
    <x v="3"/>
    <s v="Tamil Nadu"/>
    <x v="2"/>
    <s v="Headphones"/>
    <s v="Headphones Classic"/>
    <n v="1"/>
    <n v="24785"/>
    <n v="0"/>
    <n v="0"/>
    <n v="24785"/>
    <x v="3"/>
    <n v="2"/>
    <x v="0"/>
  </r>
  <r>
    <x v="44"/>
    <x v="44"/>
    <s v="CUST00186"/>
    <x v="7"/>
    <s v="Tamil Nadu"/>
    <x v="1"/>
    <s v="Watch"/>
    <s v="Watch Lite"/>
    <n v="2"/>
    <n v="4808"/>
    <n v="5"/>
    <n v="480.8"/>
    <n v="9135.2000000000007"/>
    <x v="2"/>
    <n v="5"/>
    <x v="0"/>
  </r>
  <r>
    <x v="45"/>
    <x v="45"/>
    <s v="CUST00143"/>
    <x v="7"/>
    <s v="Tamil Nadu"/>
    <x v="1"/>
    <s v="Watch"/>
    <s v="Watch Classic"/>
    <n v="1"/>
    <n v="3155"/>
    <n v="0"/>
    <n v="0"/>
    <n v="3155"/>
    <x v="0"/>
    <n v="3"/>
    <x v="0"/>
  </r>
  <r>
    <x v="46"/>
    <x v="46"/>
    <s v="CUST00144"/>
    <x v="3"/>
    <s v="Tamil Nadu"/>
    <x v="0"/>
    <s v="Dinner Set"/>
    <s v="Dinner Set Pro"/>
    <n v="1"/>
    <n v="2277"/>
    <n v="5"/>
    <n v="113.85"/>
    <n v="2163.15"/>
    <x v="2"/>
    <n v="7"/>
    <x v="0"/>
  </r>
  <r>
    <x v="47"/>
    <x v="47"/>
    <s v="CUST00230"/>
    <x v="0"/>
    <s v="Tamil Nadu"/>
    <x v="2"/>
    <s v="Headphones"/>
    <s v="Headphones Lite"/>
    <n v="1"/>
    <n v="16445"/>
    <n v="5"/>
    <n v="822.25"/>
    <n v="15622.75"/>
    <x v="3"/>
    <n v="2"/>
    <x v="0"/>
  </r>
  <r>
    <x v="48"/>
    <x v="48"/>
    <s v="CUST00170"/>
    <x v="4"/>
    <s v="West Bengal"/>
    <x v="3"/>
    <s v="Lipstick"/>
    <s v="Lipstick Max"/>
    <n v="1"/>
    <n v="394"/>
    <n v="20"/>
    <n v="78.8"/>
    <n v="315.2"/>
    <x v="4"/>
    <n v="2"/>
    <x v="0"/>
  </r>
  <r>
    <x v="49"/>
    <x v="49"/>
    <s v="CUST00142"/>
    <x v="3"/>
    <s v="Tamil Nadu"/>
    <x v="4"/>
    <s v="Snacks"/>
    <s v="Snacks Max"/>
    <n v="3"/>
    <n v="417"/>
    <n v="5"/>
    <n v="62.55"/>
    <n v="1188.45"/>
    <x v="2"/>
    <n v="4"/>
    <x v="1"/>
  </r>
  <r>
    <x v="50"/>
    <x v="50"/>
    <s v="CUST00284"/>
    <x v="8"/>
    <s v="Telangana"/>
    <x v="1"/>
    <s v="Watch"/>
    <s v="Watch Pro"/>
    <n v="2"/>
    <n v="2729"/>
    <n v="5"/>
    <n v="272.89999999999998"/>
    <n v="5185.1000000000004"/>
    <x v="1"/>
    <n v="2"/>
    <x v="0"/>
  </r>
  <r>
    <x v="51"/>
    <x v="51"/>
    <s v="CUST00059"/>
    <x v="2"/>
    <s v="Karnataka"/>
    <x v="3"/>
    <s v="Perfume"/>
    <s v="Perfume Pro"/>
    <n v="1"/>
    <n v="1811"/>
    <n v="15"/>
    <n v="271.64999999999998"/>
    <n v="1539.35"/>
    <x v="0"/>
    <n v="2"/>
    <x v="0"/>
  </r>
  <r>
    <x v="52"/>
    <x v="52"/>
    <s v="CUST00214"/>
    <x v="3"/>
    <s v="Tamil Nadu"/>
    <x v="4"/>
    <s v="Snacks"/>
    <s v="Snacks Lite"/>
    <n v="2"/>
    <n v="658"/>
    <n v="15"/>
    <n v="197.4"/>
    <n v="1118.5999999999999"/>
    <x v="1"/>
    <n v="2"/>
    <x v="0"/>
  </r>
  <r>
    <x v="53"/>
    <x v="53"/>
    <s v="CUST00031"/>
    <x v="3"/>
    <s v="Tamil Nadu"/>
    <x v="2"/>
    <s v="Laptop"/>
    <s v="Laptop Lite"/>
    <n v="1"/>
    <n v="5820"/>
    <n v="0"/>
    <n v="0"/>
    <n v="5820"/>
    <x v="0"/>
    <n v="2"/>
    <x v="0"/>
  </r>
  <r>
    <x v="54"/>
    <x v="54"/>
    <s v="CUST00241"/>
    <x v="8"/>
    <s v="Telangana"/>
    <x v="2"/>
    <s v="Laptop"/>
    <s v="Laptop Max"/>
    <n v="2"/>
    <n v="30255"/>
    <n v="10"/>
    <n v="6051"/>
    <n v="54459"/>
    <x v="4"/>
    <n v="3"/>
    <x v="0"/>
  </r>
  <r>
    <x v="55"/>
    <x v="55"/>
    <s v="CUST00218"/>
    <x v="2"/>
    <s v="Karnataka"/>
    <x v="4"/>
    <s v="Dal"/>
    <s v="Dal Lite"/>
    <n v="3"/>
    <n v="679"/>
    <n v="5"/>
    <n v="101.85"/>
    <n v="1935.15"/>
    <x v="2"/>
    <n v="5"/>
    <x v="0"/>
  </r>
  <r>
    <x v="56"/>
    <x v="56"/>
    <s v="CUST00156"/>
    <x v="6"/>
    <s v="Maharashtra"/>
    <x v="0"/>
    <s v="Dinner Set"/>
    <s v="Dinner Set Classic"/>
    <n v="1"/>
    <n v="7586"/>
    <n v="10"/>
    <n v="758.6"/>
    <n v="6827.4"/>
    <x v="0"/>
    <n v="2"/>
    <x v="0"/>
  </r>
  <r>
    <x v="57"/>
    <x v="57"/>
    <s v="CUST00295"/>
    <x v="3"/>
    <s v="Tamil Nadu"/>
    <x v="2"/>
    <s v="Headphones"/>
    <s v="Headphones Classic"/>
    <n v="1"/>
    <n v="11981"/>
    <n v="15"/>
    <n v="1797.15"/>
    <n v="10183.85"/>
    <x v="0"/>
    <n v="3"/>
    <x v="0"/>
  </r>
  <r>
    <x v="58"/>
    <x v="58"/>
    <s v="CUST00252"/>
    <x v="2"/>
    <s v="Karnataka"/>
    <x v="3"/>
    <s v="Lipstick"/>
    <s v="Lipstick Plus"/>
    <n v="1"/>
    <n v="993"/>
    <n v="5"/>
    <n v="49.65"/>
    <n v="943.35"/>
    <x v="4"/>
    <n v="2"/>
    <x v="0"/>
  </r>
  <r>
    <x v="59"/>
    <x v="59"/>
    <s v="CUST00019"/>
    <x v="7"/>
    <s v="Tamil Nadu"/>
    <x v="2"/>
    <s v="Headphones"/>
    <s v="Headphones Max"/>
    <n v="1"/>
    <n v="26988"/>
    <n v="15"/>
    <n v="4048.2"/>
    <n v="22939.8"/>
    <x v="3"/>
    <n v="1"/>
    <x v="0"/>
  </r>
  <r>
    <x v="60"/>
    <x v="60"/>
    <s v="CUST00186"/>
    <x v="3"/>
    <s v="Tamil Nadu"/>
    <x v="3"/>
    <s v="Perfume"/>
    <s v="Perfume Pro"/>
    <n v="1"/>
    <n v="739"/>
    <n v="15"/>
    <n v="110.85"/>
    <n v="628.15"/>
    <x v="3"/>
    <n v="1"/>
    <x v="0"/>
  </r>
  <r>
    <x v="61"/>
    <x v="61"/>
    <s v="CUST00123"/>
    <x v="9"/>
    <s v="Maharashtra"/>
    <x v="0"/>
    <s v="Dinner Set"/>
    <s v="Dinner Set Pro"/>
    <n v="1"/>
    <n v="7192"/>
    <n v="15"/>
    <n v="1078.8"/>
    <n v="6113.2"/>
    <x v="4"/>
    <n v="2"/>
    <x v="0"/>
  </r>
  <r>
    <x v="62"/>
    <x v="62"/>
    <s v="CUST00140"/>
    <x v="6"/>
    <s v="Maharashtra"/>
    <x v="3"/>
    <s v="Perfume"/>
    <s v="Perfume Lite"/>
    <n v="1"/>
    <n v="1377"/>
    <n v="10"/>
    <n v="137.69999999999999"/>
    <n v="1239.3"/>
    <x v="0"/>
    <n v="1"/>
    <x v="0"/>
  </r>
  <r>
    <x v="63"/>
    <x v="63"/>
    <s v="CUST00175"/>
    <x v="1"/>
    <s v="Tamil Nadu"/>
    <x v="0"/>
    <s v="Bedsheet"/>
    <s v="Bedsheet Max"/>
    <n v="2"/>
    <n v="7388"/>
    <n v="5"/>
    <n v="738.8"/>
    <n v="14037.2"/>
    <x v="0"/>
    <n v="3"/>
    <x v="0"/>
  </r>
  <r>
    <x v="64"/>
    <x v="64"/>
    <s v="CUST00194"/>
    <x v="7"/>
    <s v="Tamil Nadu"/>
    <x v="0"/>
    <s v="Mixer"/>
    <s v="Mixer Lite"/>
    <n v="1"/>
    <n v="657"/>
    <n v="10"/>
    <n v="65.7"/>
    <n v="591.29999999999995"/>
    <x v="2"/>
    <n v="5"/>
    <x v="0"/>
  </r>
  <r>
    <x v="65"/>
    <x v="65"/>
    <s v="CUST00078"/>
    <x v="7"/>
    <s v="Tamil Nadu"/>
    <x v="2"/>
    <s v="Laptop"/>
    <s v="Laptop Classic"/>
    <n v="3"/>
    <n v="22257"/>
    <n v="0"/>
    <n v="0"/>
    <n v="66771"/>
    <x v="2"/>
    <n v="3"/>
    <x v="1"/>
  </r>
  <r>
    <x v="66"/>
    <x v="66"/>
    <s v="CUST00080"/>
    <x v="2"/>
    <s v="Karnataka"/>
    <x v="3"/>
    <s v="Lipstick"/>
    <s v="Lipstick Max"/>
    <n v="1"/>
    <n v="822"/>
    <n v="15"/>
    <n v="123.3"/>
    <n v="698.7"/>
    <x v="3"/>
    <n v="2"/>
    <x v="0"/>
  </r>
  <r>
    <x v="67"/>
    <x v="67"/>
    <s v="CUST00278"/>
    <x v="0"/>
    <s v="Tamil Nadu"/>
    <x v="4"/>
    <s v="Rice"/>
    <s v="Rice Lite"/>
    <n v="1"/>
    <n v="938"/>
    <n v="20"/>
    <n v="187.6"/>
    <n v="750.4"/>
    <x v="2"/>
    <n v="4"/>
    <x v="0"/>
  </r>
  <r>
    <x v="68"/>
    <x v="68"/>
    <s v="CUST00154"/>
    <x v="0"/>
    <s v="Tamil Nadu"/>
    <x v="2"/>
    <s v="Headphones"/>
    <s v="Headphones Pro"/>
    <n v="1"/>
    <n v="25065"/>
    <n v="5"/>
    <n v="1253.25"/>
    <n v="23811.75"/>
    <x v="4"/>
    <n v="2"/>
    <x v="0"/>
  </r>
  <r>
    <x v="69"/>
    <x v="69"/>
    <s v="CUST00041"/>
    <x v="3"/>
    <s v="Tamil Nadu"/>
    <x v="3"/>
    <s v="Moisturizer"/>
    <s v="Moisturizer Lite"/>
    <n v="1"/>
    <n v="1094"/>
    <n v="0"/>
    <n v="0"/>
    <n v="1094"/>
    <x v="0"/>
    <n v="1"/>
    <x v="0"/>
  </r>
  <r>
    <x v="70"/>
    <x v="70"/>
    <s v="Unknown"/>
    <x v="1"/>
    <s v="Tamil Nadu"/>
    <x v="1"/>
    <s v="T-Shirt"/>
    <s v="T-Shirt Plus"/>
    <n v="3"/>
    <n v="2850"/>
    <n v="0"/>
    <n v="0"/>
    <n v="8550"/>
    <x v="2"/>
    <n v="4"/>
    <x v="0"/>
  </r>
  <r>
    <x v="71"/>
    <x v="71"/>
    <s v="CUST00055"/>
    <x v="5"/>
    <s v="Delhi"/>
    <x v="3"/>
    <s v="Moisturizer"/>
    <s v="Moisturizer Max"/>
    <n v="1"/>
    <n v="1498"/>
    <n v="0"/>
    <n v="0"/>
    <n v="1498"/>
    <x v="4"/>
    <n v="3"/>
    <x v="0"/>
  </r>
  <r>
    <x v="72"/>
    <x v="72"/>
    <s v="CUST00255"/>
    <x v="8"/>
    <s v="Telangana"/>
    <x v="1"/>
    <s v="Handbag"/>
    <s v="Handbag Max"/>
    <n v="1"/>
    <n v="2453"/>
    <n v="10"/>
    <n v="245.3"/>
    <n v="2207.6999999999998"/>
    <x v="0"/>
    <n v="1"/>
    <x v="0"/>
  </r>
  <r>
    <x v="73"/>
    <x v="73"/>
    <s v="CUST00021"/>
    <x v="8"/>
    <s v="Telangana"/>
    <x v="3"/>
    <s v="Face Wash"/>
    <s v="Face Wash Classic"/>
    <n v="1"/>
    <n v="754"/>
    <n v="10"/>
    <n v="75.400000000000006"/>
    <n v="678.6"/>
    <x v="0"/>
    <n v="1"/>
    <x v="0"/>
  </r>
  <r>
    <x v="74"/>
    <x v="74"/>
    <s v="CUST00188"/>
    <x v="1"/>
    <s v="Tamil Nadu"/>
    <x v="4"/>
    <s v="Oil"/>
    <s v="Oil Lite"/>
    <n v="1"/>
    <n v="743"/>
    <n v="15"/>
    <n v="111.45"/>
    <n v="631.54999999999995"/>
    <x v="3"/>
    <n v="1"/>
    <x v="0"/>
  </r>
  <r>
    <x v="75"/>
    <x v="75"/>
    <s v="CUST00204"/>
    <x v="1"/>
    <s v="Tamil Nadu"/>
    <x v="0"/>
    <s v="Bedsheet"/>
    <s v="Bedsheet Plus"/>
    <n v="1"/>
    <n v="4025"/>
    <n v="10"/>
    <n v="402.5"/>
    <n v="3622.5"/>
    <x v="0"/>
    <n v="2"/>
    <x v="0"/>
  </r>
  <r>
    <x v="76"/>
    <x v="76"/>
    <s v="CUST00191"/>
    <x v="2"/>
    <s v="Karnataka"/>
    <x v="1"/>
    <s v="Watch"/>
    <s v="Watch Pro"/>
    <n v="1"/>
    <n v="3087"/>
    <n v="10"/>
    <n v="308.7"/>
    <n v="2778.3"/>
    <x v="4"/>
    <n v="2"/>
    <x v="0"/>
  </r>
  <r>
    <x v="77"/>
    <x v="77"/>
    <s v="CUST00155"/>
    <x v="6"/>
    <s v="Maharashtra"/>
    <x v="2"/>
    <s v="Laptop"/>
    <s v="Laptop Pro"/>
    <n v="3"/>
    <n v="20446"/>
    <n v="15"/>
    <n v="9200.7000000000007"/>
    <n v="52137.3"/>
    <x v="0"/>
    <n v="2"/>
    <x v="0"/>
  </r>
  <r>
    <x v="78"/>
    <x v="78"/>
    <s v="CUST00277"/>
    <x v="6"/>
    <s v="Maharashtra"/>
    <x v="4"/>
    <s v="Dal"/>
    <s v="Dal Plus"/>
    <n v="1"/>
    <n v="117"/>
    <n v="10"/>
    <n v="11.7"/>
    <n v="105.3"/>
    <x v="0"/>
    <n v="2"/>
    <x v="0"/>
  </r>
  <r>
    <x v="79"/>
    <x v="79"/>
    <s v="CUST00186"/>
    <x v="2"/>
    <s v="Karnataka"/>
    <x v="0"/>
    <s v="Dinner Set"/>
    <s v="Dinner Set Max"/>
    <n v="1"/>
    <n v="1300"/>
    <n v="0"/>
    <n v="0"/>
    <n v="1300"/>
    <x v="0"/>
    <n v="3"/>
    <x v="0"/>
  </r>
  <r>
    <x v="80"/>
    <x v="80"/>
    <s v="CUST00026"/>
    <x v="4"/>
    <s v="West Bengal"/>
    <x v="1"/>
    <s v="Jeans"/>
    <s v="Jeans Classic"/>
    <n v="1"/>
    <n v="2097"/>
    <n v="5"/>
    <n v="104.85"/>
    <n v="1992.15"/>
    <x v="0"/>
    <n v="4"/>
    <x v="0"/>
  </r>
  <r>
    <x v="81"/>
    <x v="81"/>
    <s v="CUST00142"/>
    <x v="9"/>
    <s v="Maharashtra"/>
    <x v="1"/>
    <s v="Handbag"/>
    <s v="Handbag Max"/>
    <n v="2"/>
    <n v="611"/>
    <n v="10"/>
    <n v="122.2"/>
    <n v="1099.8"/>
    <x v="0"/>
    <n v="2"/>
    <x v="0"/>
  </r>
  <r>
    <x v="82"/>
    <x v="82"/>
    <s v="CUST00136"/>
    <x v="0"/>
    <s v="Tamil Nadu"/>
    <x v="1"/>
    <s v="Watch"/>
    <s v="Watch Classic"/>
    <n v="1"/>
    <n v="4301"/>
    <n v="5"/>
    <n v="215.05"/>
    <n v="4085.95"/>
    <x v="0"/>
    <n v="3"/>
    <x v="0"/>
  </r>
  <r>
    <x v="83"/>
    <x v="83"/>
    <s v="CUST00023"/>
    <x v="1"/>
    <s v="Tamil Nadu"/>
    <x v="0"/>
    <s v="Curtains"/>
    <s v="Curtains Pro"/>
    <n v="1"/>
    <n v="3792"/>
    <n v="5"/>
    <n v="189.6"/>
    <n v="3602.4"/>
    <x v="2"/>
    <n v="3"/>
    <x v="1"/>
  </r>
  <r>
    <x v="84"/>
    <x v="84"/>
    <s v="CUST00076"/>
    <x v="2"/>
    <s v="Karnataka"/>
    <x v="1"/>
    <s v="Shoes"/>
    <s v="Shoes Classic"/>
    <n v="1"/>
    <n v="3063"/>
    <n v="0"/>
    <n v="0"/>
    <n v="3063"/>
    <x v="3"/>
    <n v="2"/>
    <x v="0"/>
  </r>
  <r>
    <x v="85"/>
    <x v="85"/>
    <s v="CUST00059"/>
    <x v="1"/>
    <s v="Tamil Nadu"/>
    <x v="1"/>
    <s v="Watch"/>
    <s v="Watch Plus"/>
    <n v="2"/>
    <n v="3176"/>
    <n v="5"/>
    <n v="317.60000000000002"/>
    <n v="6034.4"/>
    <x v="0"/>
    <n v="2"/>
    <x v="0"/>
  </r>
  <r>
    <x v="86"/>
    <x v="86"/>
    <s v="CUST00131"/>
    <x v="4"/>
    <s v="West Bengal"/>
    <x v="1"/>
    <s v="Watch"/>
    <s v="Watch Pro"/>
    <n v="1"/>
    <n v="1163"/>
    <n v="15"/>
    <n v="174.45"/>
    <n v="988.55"/>
    <x v="4"/>
    <n v="3"/>
    <x v="0"/>
  </r>
  <r>
    <x v="87"/>
    <x v="87"/>
    <s v="Unknown"/>
    <x v="4"/>
    <s v="West Bengal"/>
    <x v="2"/>
    <s v="Smart Watch"/>
    <s v="Smart Watch Max"/>
    <n v="2"/>
    <n v="28217"/>
    <n v="5"/>
    <n v="2821.7"/>
    <n v="53612.3"/>
    <x v="4"/>
    <n v="2"/>
    <x v="0"/>
  </r>
  <r>
    <x v="88"/>
    <x v="88"/>
    <s v="CUST00247"/>
    <x v="5"/>
    <s v="Delhi"/>
    <x v="2"/>
    <s v="Headphones"/>
    <s v="Headphones Classic"/>
    <n v="1"/>
    <n v="18756"/>
    <n v="20"/>
    <n v="3751.2"/>
    <n v="15004.8"/>
    <x v="2"/>
    <n v="4"/>
    <x v="0"/>
  </r>
  <r>
    <x v="89"/>
    <x v="89"/>
    <s v="CUST00137"/>
    <x v="0"/>
    <s v="Tamil Nadu"/>
    <x v="1"/>
    <s v="Shoes"/>
    <s v="Shoes Max"/>
    <n v="3"/>
    <n v="450"/>
    <n v="5"/>
    <n v="67.5"/>
    <n v="1282.5"/>
    <x v="3"/>
    <n v="1"/>
    <x v="0"/>
  </r>
  <r>
    <x v="90"/>
    <x v="90"/>
    <s v="CUST00016"/>
    <x v="2"/>
    <s v="Karnataka"/>
    <x v="4"/>
    <s v="Dal"/>
    <s v="Dal Plus"/>
    <n v="1"/>
    <n v="714"/>
    <n v="10"/>
    <n v="71.400000000000006"/>
    <n v="642.6"/>
    <x v="4"/>
    <n v="1"/>
    <x v="0"/>
  </r>
  <r>
    <x v="91"/>
    <x v="91"/>
    <s v="CUST00080"/>
    <x v="9"/>
    <s v="Maharashtra"/>
    <x v="4"/>
    <s v="Rice"/>
    <s v="Rice Pro"/>
    <n v="1"/>
    <n v="898"/>
    <n v="0"/>
    <n v="0"/>
    <n v="898"/>
    <x v="2"/>
    <n v="2"/>
    <x v="0"/>
  </r>
  <r>
    <x v="92"/>
    <x v="92"/>
    <s v="CUST00250"/>
    <x v="1"/>
    <s v="Tamil Nadu"/>
    <x v="0"/>
    <s v="Bedsheet"/>
    <s v="Bedsheet Lite"/>
    <n v="1"/>
    <n v="362"/>
    <n v="15"/>
    <n v="54.3"/>
    <n v="307.7"/>
    <x v="2"/>
    <n v="7"/>
    <x v="0"/>
  </r>
  <r>
    <x v="93"/>
    <x v="93"/>
    <s v="CUST00004"/>
    <x v="7"/>
    <s v="Tamil Nadu"/>
    <x v="3"/>
    <s v="Shampoo"/>
    <s v="Shampoo Lite"/>
    <n v="1"/>
    <n v="1856"/>
    <n v="15"/>
    <n v="278.39999999999998"/>
    <n v="1577.6"/>
    <x v="0"/>
    <n v="4"/>
    <x v="0"/>
  </r>
  <r>
    <x v="94"/>
    <x v="94"/>
    <s v="CUST00224"/>
    <x v="0"/>
    <s v="Tamil Nadu"/>
    <x v="3"/>
    <s v="Face Wash"/>
    <s v="Face Wash Max"/>
    <n v="1"/>
    <n v="1461"/>
    <n v="0"/>
    <n v="0"/>
    <n v="1461"/>
    <x v="3"/>
    <n v="5"/>
    <x v="0"/>
  </r>
  <r>
    <x v="95"/>
    <x v="95"/>
    <s v="CUST00236"/>
    <x v="4"/>
    <s v="West Bengal"/>
    <x v="2"/>
    <s v="Smart Watch"/>
    <s v="Smart Watch Pro"/>
    <n v="1"/>
    <n v="39092"/>
    <n v="15"/>
    <n v="5863.8"/>
    <n v="33228.199999999997"/>
    <x v="2"/>
    <n v="3"/>
    <x v="0"/>
  </r>
  <r>
    <x v="96"/>
    <x v="96"/>
    <s v="CUST00262"/>
    <x v="2"/>
    <s v="Karnataka"/>
    <x v="4"/>
    <s v="Snacks"/>
    <s v="Snacks Lite"/>
    <n v="3"/>
    <n v="1371"/>
    <n v="15"/>
    <n v="616.95000000000005"/>
    <n v="3496.05"/>
    <x v="0"/>
    <n v="1"/>
    <x v="0"/>
  </r>
  <r>
    <x v="97"/>
    <x v="97"/>
    <s v="CUST00089"/>
    <x v="3"/>
    <s v="Tamil Nadu"/>
    <x v="1"/>
    <s v="T-Shirt"/>
    <s v="T-Shirt Lite"/>
    <n v="3"/>
    <n v="4200"/>
    <n v="5"/>
    <n v="630"/>
    <n v="11970"/>
    <x v="2"/>
    <n v="6"/>
    <x v="0"/>
  </r>
  <r>
    <x v="98"/>
    <x v="98"/>
    <s v="CUST00166"/>
    <x v="4"/>
    <s v="West Bengal"/>
    <x v="1"/>
    <s v="Watch"/>
    <s v="Watch Pro"/>
    <n v="1"/>
    <n v="2650"/>
    <n v="5"/>
    <n v="132.5"/>
    <n v="2517.5"/>
    <x v="0"/>
    <n v="2"/>
    <x v="0"/>
  </r>
  <r>
    <x v="99"/>
    <x v="99"/>
    <s v="CUST00189"/>
    <x v="8"/>
    <s v="Telangana"/>
    <x v="2"/>
    <s v="Mobile"/>
    <s v="Mobile Classic"/>
    <n v="1"/>
    <n v="25697"/>
    <n v="5"/>
    <n v="1284.8499999999999"/>
    <n v="24412.15"/>
    <x v="2"/>
    <n v="4"/>
    <x v="0"/>
  </r>
  <r>
    <x v="100"/>
    <x v="100"/>
    <s v="CUST00257"/>
    <x v="9"/>
    <s v="Maharashtra"/>
    <x v="2"/>
    <s v="Smart Watch"/>
    <s v="Smart Watch Pro"/>
    <n v="2"/>
    <n v="23007"/>
    <n v="0"/>
    <n v="0"/>
    <n v="46014"/>
    <x v="2"/>
    <n v="6"/>
    <x v="0"/>
  </r>
  <r>
    <x v="101"/>
    <x v="101"/>
    <s v="CUST00082"/>
    <x v="4"/>
    <s v="West Bengal"/>
    <x v="0"/>
    <s v="Cooker"/>
    <s v="Cooker Plus"/>
    <n v="1"/>
    <n v="6765"/>
    <n v="5"/>
    <n v="338.25"/>
    <n v="6426.75"/>
    <x v="0"/>
    <n v="3"/>
    <x v="0"/>
  </r>
  <r>
    <x v="102"/>
    <x v="102"/>
    <s v="CUST00146"/>
    <x v="8"/>
    <s v="Telangana"/>
    <x v="4"/>
    <s v="Dal"/>
    <s v="Dal Max"/>
    <n v="1"/>
    <n v="1480"/>
    <n v="10"/>
    <n v="148"/>
    <n v="1332"/>
    <x v="0"/>
    <n v="3"/>
    <x v="0"/>
  </r>
  <r>
    <x v="103"/>
    <x v="103"/>
    <s v="CUST00159"/>
    <x v="1"/>
    <s v="Tamil Nadu"/>
    <x v="3"/>
    <s v="Lipstick"/>
    <s v="Lipstick Lite"/>
    <n v="1"/>
    <n v="1523"/>
    <n v="5"/>
    <n v="76.150000000000006"/>
    <n v="1446.85"/>
    <x v="0"/>
    <n v="2"/>
    <x v="0"/>
  </r>
  <r>
    <x v="104"/>
    <x v="104"/>
    <s v="CUST00175"/>
    <x v="7"/>
    <s v="Tamil Nadu"/>
    <x v="1"/>
    <s v="Jeans"/>
    <s v="Jeans Lite"/>
    <n v="1"/>
    <n v="1228"/>
    <n v="15"/>
    <n v="184.2"/>
    <n v="1043.8"/>
    <x v="2"/>
    <n v="3"/>
    <x v="0"/>
  </r>
  <r>
    <x v="105"/>
    <x v="105"/>
    <s v="CUST00068"/>
    <x v="3"/>
    <s v="Tamil Nadu"/>
    <x v="3"/>
    <s v="Shampoo"/>
    <s v="Shampoo Lite"/>
    <n v="1"/>
    <n v="991"/>
    <n v="10"/>
    <n v="99.1"/>
    <n v="891.9"/>
    <x v="0"/>
    <n v="2"/>
    <x v="0"/>
  </r>
  <r>
    <x v="106"/>
    <x v="106"/>
    <s v="CUST00230"/>
    <x v="5"/>
    <s v="Delhi"/>
    <x v="4"/>
    <s v="Dal"/>
    <s v="Dal Max"/>
    <n v="3"/>
    <n v="1218"/>
    <n v="20"/>
    <n v="730.8"/>
    <n v="2923.2"/>
    <x v="3"/>
    <n v="2"/>
    <x v="0"/>
  </r>
  <r>
    <x v="107"/>
    <x v="107"/>
    <s v="CUST00258"/>
    <x v="1"/>
    <s v="Tamil Nadu"/>
    <x v="3"/>
    <s v="Shampoo"/>
    <s v="Shampoo Lite"/>
    <n v="2"/>
    <n v="1463"/>
    <n v="15"/>
    <n v="438.9"/>
    <n v="2487.1"/>
    <x v="4"/>
    <n v="1"/>
    <x v="0"/>
  </r>
  <r>
    <x v="108"/>
    <x v="108"/>
    <s v="CUST00064"/>
    <x v="8"/>
    <s v="Telangana"/>
    <x v="2"/>
    <s v="Laptop"/>
    <s v="Laptop Max"/>
    <n v="1"/>
    <n v="34143"/>
    <n v="15"/>
    <n v="5121.45"/>
    <n v="29021.55"/>
    <x v="0"/>
    <n v="2"/>
    <x v="0"/>
  </r>
  <r>
    <x v="109"/>
    <x v="109"/>
    <s v="CUST00014"/>
    <x v="6"/>
    <s v="Maharashtra"/>
    <x v="2"/>
    <s v="Smart Watch"/>
    <s v="Smart Watch Classic"/>
    <n v="1"/>
    <n v="25807"/>
    <n v="5"/>
    <n v="1290.3499999999999"/>
    <n v="24516.65"/>
    <x v="0"/>
    <n v="3"/>
    <x v="0"/>
  </r>
  <r>
    <x v="110"/>
    <x v="110"/>
    <s v="CUST00075"/>
    <x v="9"/>
    <s v="Maharashtra"/>
    <x v="2"/>
    <s v="Headphones"/>
    <s v="Headphones Plus"/>
    <n v="1"/>
    <n v="9595"/>
    <n v="15"/>
    <n v="1439.25"/>
    <n v="8155.75"/>
    <x v="0"/>
    <n v="2"/>
    <x v="0"/>
  </r>
  <r>
    <x v="111"/>
    <x v="111"/>
    <s v="CUST00281"/>
    <x v="3"/>
    <s v="Tamil Nadu"/>
    <x v="4"/>
    <s v="Spices"/>
    <s v="Spices Pro"/>
    <n v="2"/>
    <n v="538"/>
    <n v="5"/>
    <n v="53.8"/>
    <n v="1022.2"/>
    <x v="2"/>
    <n v="6"/>
    <x v="1"/>
  </r>
  <r>
    <x v="112"/>
    <x v="112"/>
    <s v="CUST00275"/>
    <x v="0"/>
    <s v="Tamil Nadu"/>
    <x v="4"/>
    <s v="Snacks"/>
    <s v="Snacks Lite"/>
    <n v="2"/>
    <n v="772"/>
    <n v="0"/>
    <n v="0"/>
    <n v="1544"/>
    <x v="3"/>
    <n v="3"/>
    <x v="0"/>
  </r>
  <r>
    <x v="113"/>
    <x v="113"/>
    <s v="Unknown"/>
    <x v="4"/>
    <s v="West Bengal"/>
    <x v="2"/>
    <s v="Power Bank"/>
    <s v="Power Bank Classic"/>
    <n v="1"/>
    <n v="33767"/>
    <n v="0"/>
    <n v="0"/>
    <n v="33767"/>
    <x v="3"/>
    <n v="2"/>
    <x v="0"/>
  </r>
  <r>
    <x v="114"/>
    <x v="114"/>
    <s v="CUST00183"/>
    <x v="2"/>
    <s v="Karnataka"/>
    <x v="0"/>
    <s v="Mixer"/>
    <s v="Mixer Pro"/>
    <n v="2"/>
    <n v="663"/>
    <n v="5"/>
    <n v="66.3"/>
    <n v="1259.7"/>
    <x v="4"/>
    <n v="4"/>
    <x v="0"/>
  </r>
  <r>
    <x v="115"/>
    <x v="115"/>
    <s v="CUST00238"/>
    <x v="7"/>
    <s v="Tamil Nadu"/>
    <x v="1"/>
    <s v="Jeans"/>
    <s v="Jeans Pro"/>
    <n v="2"/>
    <n v="702"/>
    <n v="10"/>
    <n v="140.4"/>
    <n v="1263.5999999999999"/>
    <x v="2"/>
    <n v="5"/>
    <x v="0"/>
  </r>
  <r>
    <x v="116"/>
    <x v="116"/>
    <s v="CUST00279"/>
    <x v="7"/>
    <s v="Tamil Nadu"/>
    <x v="0"/>
    <s v="Bedsheet"/>
    <s v="Bedsheet Lite"/>
    <n v="1"/>
    <n v="2538"/>
    <n v="5"/>
    <n v="126.9"/>
    <n v="2411.1"/>
    <x v="3"/>
    <n v="2"/>
    <x v="0"/>
  </r>
  <r>
    <x v="117"/>
    <x v="117"/>
    <s v="CUST00174"/>
    <x v="9"/>
    <s v="Maharashtra"/>
    <x v="3"/>
    <s v="Perfume"/>
    <s v="Perfume Max"/>
    <n v="3"/>
    <n v="319"/>
    <n v="0"/>
    <n v="0"/>
    <n v="957"/>
    <x v="4"/>
    <n v="4"/>
    <x v="0"/>
  </r>
  <r>
    <x v="118"/>
    <x v="118"/>
    <s v="CUST00151"/>
    <x v="4"/>
    <s v="West Bengal"/>
    <x v="2"/>
    <s v="Mobile"/>
    <s v="Mobile Max"/>
    <n v="1"/>
    <n v="20586"/>
    <n v="0"/>
    <n v="0"/>
    <n v="20586"/>
    <x v="3"/>
    <n v="2"/>
    <x v="0"/>
  </r>
  <r>
    <x v="119"/>
    <x v="119"/>
    <s v="CUST00223"/>
    <x v="8"/>
    <s v="Telangana"/>
    <x v="2"/>
    <s v="Mobile"/>
    <s v="Mobile Plus"/>
    <n v="1"/>
    <n v="10984"/>
    <n v="10"/>
    <n v="1098.4000000000001"/>
    <n v="9885.6"/>
    <x v="3"/>
    <n v="1"/>
    <x v="0"/>
  </r>
  <r>
    <x v="120"/>
    <x v="120"/>
    <s v="CUST00188"/>
    <x v="4"/>
    <s v="West Bengal"/>
    <x v="3"/>
    <s v="Moisturizer"/>
    <s v="Moisturizer Pro"/>
    <n v="1"/>
    <n v="1059"/>
    <n v="5"/>
    <n v="52.95"/>
    <n v="1006.05"/>
    <x v="3"/>
    <n v="2"/>
    <x v="0"/>
  </r>
  <r>
    <x v="121"/>
    <x v="121"/>
    <s v="CUST00143"/>
    <x v="5"/>
    <s v="Delhi"/>
    <x v="2"/>
    <s v="Mobile"/>
    <s v="Mobile Lite"/>
    <n v="1"/>
    <n v="25861"/>
    <n v="10"/>
    <n v="2586.1"/>
    <n v="23274.9"/>
    <x v="0"/>
    <n v="3"/>
    <x v="0"/>
  </r>
  <r>
    <x v="122"/>
    <x v="122"/>
    <s v="CUST00252"/>
    <x v="5"/>
    <s v="Delhi"/>
    <x v="2"/>
    <s v="Laptop"/>
    <s v="Laptop Pro"/>
    <n v="1"/>
    <n v="29670"/>
    <n v="10"/>
    <n v="2967"/>
    <n v="26703"/>
    <x v="2"/>
    <n v="4"/>
    <x v="0"/>
  </r>
  <r>
    <x v="123"/>
    <x v="123"/>
    <s v="CUST00081"/>
    <x v="9"/>
    <s v="Maharashtra"/>
    <x v="0"/>
    <s v="Dinner Set"/>
    <s v="Dinner Set Lite"/>
    <n v="1"/>
    <n v="2239"/>
    <n v="0"/>
    <n v="0"/>
    <n v="2239"/>
    <x v="4"/>
    <n v="2"/>
    <x v="0"/>
  </r>
  <r>
    <x v="124"/>
    <x v="124"/>
    <s v="CUST00067"/>
    <x v="3"/>
    <s v="Tamil Nadu"/>
    <x v="2"/>
    <s v="Mobile"/>
    <s v="Mobile Max"/>
    <n v="1"/>
    <n v="31869"/>
    <n v="15"/>
    <n v="4780.3500000000004"/>
    <n v="27088.65"/>
    <x v="0"/>
    <n v="5"/>
    <x v="0"/>
  </r>
  <r>
    <x v="125"/>
    <x v="125"/>
    <s v="CUST00038"/>
    <x v="7"/>
    <s v="Tamil Nadu"/>
    <x v="3"/>
    <s v="Moisturizer"/>
    <s v="Moisturizer Max"/>
    <n v="1"/>
    <n v="414"/>
    <n v="5"/>
    <n v="20.7"/>
    <n v="393.3"/>
    <x v="2"/>
    <n v="8"/>
    <x v="0"/>
  </r>
  <r>
    <x v="126"/>
    <x v="126"/>
    <s v="CUST00085"/>
    <x v="9"/>
    <s v="Maharashtra"/>
    <x v="0"/>
    <s v="Mixer"/>
    <s v="Mixer Max"/>
    <n v="3"/>
    <n v="7229"/>
    <n v="0"/>
    <n v="0"/>
    <n v="21687"/>
    <x v="1"/>
    <n v="2"/>
    <x v="0"/>
  </r>
  <r>
    <x v="127"/>
    <x v="127"/>
    <s v="CUST00156"/>
    <x v="3"/>
    <s v="Tamil Nadu"/>
    <x v="4"/>
    <s v="Rice"/>
    <s v="Rice Classic"/>
    <n v="1"/>
    <n v="1328"/>
    <n v="10"/>
    <n v="132.80000000000001"/>
    <n v="1195.2"/>
    <x v="4"/>
    <n v="4"/>
    <x v="0"/>
  </r>
  <r>
    <x v="128"/>
    <x v="128"/>
    <s v="CUST00022"/>
    <x v="0"/>
    <s v="Tamil Nadu"/>
    <x v="2"/>
    <s v="Mobile"/>
    <s v="Mobile Classic"/>
    <n v="1"/>
    <n v="14315"/>
    <n v="5"/>
    <n v="715.75"/>
    <n v="13599.25"/>
    <x v="4"/>
    <n v="2"/>
    <x v="0"/>
  </r>
  <r>
    <x v="129"/>
    <x v="129"/>
    <s v="CUST00248"/>
    <x v="5"/>
    <s v="Delhi"/>
    <x v="3"/>
    <s v="Lipstick"/>
    <s v="Lipstick Plus"/>
    <n v="1"/>
    <n v="1001"/>
    <n v="5"/>
    <n v="50.05"/>
    <n v="950.95"/>
    <x v="0"/>
    <n v="1"/>
    <x v="0"/>
  </r>
  <r>
    <x v="130"/>
    <x v="130"/>
    <s v="CUST00177"/>
    <x v="6"/>
    <s v="Maharashtra"/>
    <x v="1"/>
    <s v="Shoes"/>
    <s v="Shoes Classic"/>
    <n v="1"/>
    <n v="2380"/>
    <n v="5"/>
    <n v="119"/>
    <n v="2261"/>
    <x v="0"/>
    <n v="1"/>
    <x v="0"/>
  </r>
  <r>
    <x v="131"/>
    <x v="131"/>
    <s v="CUST00215"/>
    <x v="5"/>
    <s v="Delhi"/>
    <x v="1"/>
    <s v="Shoes"/>
    <s v="Shoes Classic"/>
    <n v="2"/>
    <n v="1705"/>
    <n v="5"/>
    <n v="170.5"/>
    <n v="3239.5"/>
    <x v="0"/>
    <n v="1"/>
    <x v="0"/>
  </r>
  <r>
    <x v="132"/>
    <x v="132"/>
    <s v="CUST00259"/>
    <x v="7"/>
    <s v="Tamil Nadu"/>
    <x v="1"/>
    <s v="Jeans"/>
    <s v="Jeans Classic"/>
    <n v="1"/>
    <n v="2704"/>
    <n v="10"/>
    <n v="270.39999999999998"/>
    <n v="2433.6"/>
    <x v="0"/>
    <n v="1"/>
    <x v="0"/>
  </r>
  <r>
    <x v="133"/>
    <x v="133"/>
    <s v="CUST00221"/>
    <x v="9"/>
    <s v="Maharashtra"/>
    <x v="0"/>
    <s v="Cooker"/>
    <s v="Cooker Plus"/>
    <n v="1"/>
    <n v="4971"/>
    <n v="5"/>
    <n v="248.55"/>
    <n v="4722.45"/>
    <x v="0"/>
    <n v="2"/>
    <x v="0"/>
  </r>
  <r>
    <x v="134"/>
    <x v="134"/>
    <s v="CUST00282"/>
    <x v="8"/>
    <s v="Telangana"/>
    <x v="4"/>
    <s v="Snacks"/>
    <s v="Snacks Pro"/>
    <n v="1"/>
    <n v="744"/>
    <n v="5"/>
    <n v="37.200000000000003"/>
    <n v="706.8"/>
    <x v="3"/>
    <n v="1"/>
    <x v="0"/>
  </r>
  <r>
    <x v="135"/>
    <x v="135"/>
    <s v="CUST00261"/>
    <x v="6"/>
    <s v="Maharashtra"/>
    <x v="4"/>
    <s v="Rice"/>
    <s v="Rice Pro"/>
    <n v="1"/>
    <n v="355"/>
    <n v="10"/>
    <n v="35.5"/>
    <n v="319.5"/>
    <x v="3"/>
    <n v="2"/>
    <x v="0"/>
  </r>
  <r>
    <x v="136"/>
    <x v="136"/>
    <s v="CUST00164"/>
    <x v="9"/>
    <s v="Maharashtra"/>
    <x v="3"/>
    <s v="Moisturizer"/>
    <s v="Moisturizer Max"/>
    <n v="1"/>
    <n v="1153"/>
    <n v="0"/>
    <n v="0"/>
    <n v="1153"/>
    <x v="2"/>
    <n v="3"/>
    <x v="0"/>
  </r>
  <r>
    <x v="137"/>
    <x v="137"/>
    <s v="CUST00299"/>
    <x v="8"/>
    <s v="Telangana"/>
    <x v="2"/>
    <s v="Power Bank"/>
    <s v="Power Bank Plus"/>
    <n v="1"/>
    <n v="38410"/>
    <n v="5"/>
    <n v="1920.5"/>
    <n v="36489.5"/>
    <x v="3"/>
    <n v="3"/>
    <x v="0"/>
  </r>
  <r>
    <x v="138"/>
    <x v="138"/>
    <s v="Unknown"/>
    <x v="5"/>
    <s v="Delhi"/>
    <x v="2"/>
    <s v="Power Bank"/>
    <s v="Power Bank Pro"/>
    <n v="1"/>
    <n v="29403"/>
    <n v="10"/>
    <n v="2940.3"/>
    <n v="26462.7"/>
    <x v="3"/>
    <n v="3"/>
    <x v="0"/>
  </r>
  <r>
    <x v="139"/>
    <x v="139"/>
    <s v="CUST00032"/>
    <x v="9"/>
    <s v="Maharashtra"/>
    <x v="4"/>
    <s v="Dal"/>
    <s v="Dal Classic"/>
    <n v="1"/>
    <n v="404"/>
    <n v="5"/>
    <n v="20.2"/>
    <n v="383.8"/>
    <x v="3"/>
    <n v="3"/>
    <x v="0"/>
  </r>
  <r>
    <x v="140"/>
    <x v="140"/>
    <s v="CUST00136"/>
    <x v="3"/>
    <s v="Tamil Nadu"/>
    <x v="3"/>
    <s v="Shampoo"/>
    <s v="Shampoo Lite"/>
    <n v="1"/>
    <n v="1729"/>
    <n v="10"/>
    <n v="172.9"/>
    <n v="1556.1"/>
    <x v="4"/>
    <n v="2"/>
    <x v="0"/>
  </r>
  <r>
    <x v="141"/>
    <x v="141"/>
    <s v="CUST00179"/>
    <x v="1"/>
    <s v="Tamil Nadu"/>
    <x v="0"/>
    <s v="Cooker"/>
    <s v="Cooker Pro"/>
    <n v="1"/>
    <n v="7638"/>
    <n v="20"/>
    <n v="1527.6"/>
    <n v="6110.4"/>
    <x v="2"/>
    <n v="5"/>
    <x v="0"/>
  </r>
  <r>
    <x v="142"/>
    <x v="142"/>
    <s v="CUST00178"/>
    <x v="7"/>
    <s v="Tamil Nadu"/>
    <x v="0"/>
    <s v="Curtains"/>
    <s v="Curtains Lite"/>
    <n v="1"/>
    <n v="7943"/>
    <n v="0"/>
    <n v="0"/>
    <n v="7943"/>
    <x v="0"/>
    <n v="3"/>
    <x v="0"/>
  </r>
  <r>
    <x v="143"/>
    <x v="143"/>
    <s v="CUST00272"/>
    <x v="5"/>
    <s v="Delhi"/>
    <x v="1"/>
    <s v="T-Shirt"/>
    <s v="T-Shirt Pro"/>
    <n v="1"/>
    <n v="1223"/>
    <n v="0"/>
    <n v="0"/>
    <n v="1223"/>
    <x v="4"/>
    <n v="4"/>
    <x v="0"/>
  </r>
  <r>
    <x v="144"/>
    <x v="144"/>
    <s v="CUST00244"/>
    <x v="7"/>
    <s v="Tamil Nadu"/>
    <x v="1"/>
    <s v="Shoes"/>
    <s v="Shoes Max"/>
    <n v="1"/>
    <n v="1132"/>
    <n v="5"/>
    <n v="56.6"/>
    <n v="1075.4000000000001"/>
    <x v="2"/>
    <n v="8"/>
    <x v="0"/>
  </r>
  <r>
    <x v="145"/>
    <x v="145"/>
    <s v="CUST00214"/>
    <x v="9"/>
    <s v="Maharashtra"/>
    <x v="2"/>
    <s v="Smart Watch"/>
    <s v="Smart Watch Plus"/>
    <n v="1"/>
    <n v="19470"/>
    <n v="10"/>
    <n v="1947"/>
    <n v="17523"/>
    <x v="2"/>
    <n v="3"/>
    <x v="0"/>
  </r>
  <r>
    <x v="146"/>
    <x v="146"/>
    <s v="CUST00279"/>
    <x v="1"/>
    <s v="Tamil Nadu"/>
    <x v="3"/>
    <s v="Shampoo"/>
    <s v="Shampoo Classic"/>
    <n v="1"/>
    <n v="482"/>
    <n v="10"/>
    <n v="48.2"/>
    <n v="433.8"/>
    <x v="2"/>
    <n v="3"/>
    <x v="0"/>
  </r>
  <r>
    <x v="147"/>
    <x v="147"/>
    <s v="CUST00099"/>
    <x v="9"/>
    <s v="Maharashtra"/>
    <x v="4"/>
    <s v="Spices"/>
    <s v="Spices Plus"/>
    <n v="1"/>
    <n v="428"/>
    <n v="20"/>
    <n v="85.6"/>
    <n v="342.4"/>
    <x v="3"/>
    <n v="4"/>
    <x v="0"/>
  </r>
  <r>
    <x v="148"/>
    <x v="148"/>
    <s v="CUST00134"/>
    <x v="6"/>
    <s v="Maharashtra"/>
    <x v="1"/>
    <s v="Watch"/>
    <s v="Watch Max"/>
    <n v="3"/>
    <n v="493"/>
    <n v="10"/>
    <n v="147.9"/>
    <n v="1331.1"/>
    <x v="0"/>
    <n v="1"/>
    <x v="0"/>
  </r>
  <r>
    <x v="149"/>
    <x v="149"/>
    <s v="CUST00082"/>
    <x v="6"/>
    <s v="Maharashtra"/>
    <x v="4"/>
    <s v="Oil"/>
    <s v="Oil Pro"/>
    <n v="1"/>
    <n v="498"/>
    <n v="20"/>
    <n v="99.6"/>
    <n v="398.4"/>
    <x v="3"/>
    <n v="2"/>
    <x v="0"/>
  </r>
  <r>
    <x v="150"/>
    <x v="150"/>
    <s v="CUST00192"/>
    <x v="6"/>
    <s v="Maharashtra"/>
    <x v="4"/>
    <s v="Spices"/>
    <s v="Spices Classic"/>
    <n v="2"/>
    <n v="1270"/>
    <n v="15"/>
    <n v="381"/>
    <n v="2159"/>
    <x v="0"/>
    <n v="2"/>
    <x v="0"/>
  </r>
  <r>
    <x v="151"/>
    <x v="151"/>
    <s v="CUST00186"/>
    <x v="2"/>
    <s v="Karnataka"/>
    <x v="4"/>
    <s v="Rice"/>
    <s v="Rice Pro"/>
    <n v="2"/>
    <n v="356"/>
    <n v="0"/>
    <n v="0"/>
    <n v="712"/>
    <x v="2"/>
    <n v="3"/>
    <x v="0"/>
  </r>
  <r>
    <x v="152"/>
    <x v="152"/>
    <s v="CUST00251"/>
    <x v="2"/>
    <s v="Karnataka"/>
    <x v="4"/>
    <s v="Spices"/>
    <s v="Spices Pro"/>
    <n v="1"/>
    <n v="168"/>
    <n v="5"/>
    <n v="8.4"/>
    <n v="159.6"/>
    <x v="4"/>
    <n v="2"/>
    <x v="0"/>
  </r>
  <r>
    <x v="153"/>
    <x v="153"/>
    <s v="Unknown"/>
    <x v="8"/>
    <s v="Telangana"/>
    <x v="2"/>
    <s v="Laptop"/>
    <s v="Laptop Classic"/>
    <n v="1"/>
    <n v="28267"/>
    <n v="20"/>
    <n v="5653.4"/>
    <n v="22613.599999999999"/>
    <x v="2"/>
    <n v="2"/>
    <x v="0"/>
  </r>
  <r>
    <x v="154"/>
    <x v="154"/>
    <s v="CUST00147"/>
    <x v="6"/>
    <s v="Maharashtra"/>
    <x v="1"/>
    <s v="Jeans"/>
    <s v="Jeans Plus"/>
    <n v="1"/>
    <n v="4074"/>
    <n v="0"/>
    <n v="0"/>
    <n v="4074"/>
    <x v="1"/>
    <n v="4"/>
    <x v="0"/>
  </r>
  <r>
    <x v="155"/>
    <x v="155"/>
    <s v="CUST00179"/>
    <x v="2"/>
    <s v="Karnataka"/>
    <x v="1"/>
    <s v="Handbag"/>
    <s v="Handbag Plus"/>
    <n v="1"/>
    <n v="428"/>
    <n v="5"/>
    <n v="21.4"/>
    <n v="406.6"/>
    <x v="2"/>
    <n v="3"/>
    <x v="0"/>
  </r>
  <r>
    <x v="156"/>
    <x v="156"/>
    <s v="CUST00127"/>
    <x v="7"/>
    <s v="Tamil Nadu"/>
    <x v="0"/>
    <s v="Mixer"/>
    <s v="Mixer Max"/>
    <n v="1"/>
    <n v="6931"/>
    <n v="10"/>
    <n v="693.1"/>
    <n v="6237.9"/>
    <x v="2"/>
    <n v="8"/>
    <x v="0"/>
  </r>
  <r>
    <x v="157"/>
    <x v="157"/>
    <s v="CUST00052"/>
    <x v="3"/>
    <s v="Tamil Nadu"/>
    <x v="2"/>
    <s v="Smart Watch"/>
    <s v="Smart Watch Classic"/>
    <n v="1"/>
    <n v="3690"/>
    <n v="5"/>
    <n v="184.5"/>
    <n v="3505.5"/>
    <x v="3"/>
    <n v="3"/>
    <x v="0"/>
  </r>
  <r>
    <x v="158"/>
    <x v="158"/>
    <s v="CUST00072"/>
    <x v="1"/>
    <s v="Tamil Nadu"/>
    <x v="0"/>
    <s v="Mixer"/>
    <s v="Mixer Classic"/>
    <n v="1"/>
    <n v="2240"/>
    <n v="20"/>
    <n v="448"/>
    <n v="1792"/>
    <x v="3"/>
    <n v="2"/>
    <x v="0"/>
  </r>
  <r>
    <x v="159"/>
    <x v="159"/>
    <s v="CUST00090"/>
    <x v="6"/>
    <s v="Maharashtra"/>
    <x v="4"/>
    <s v="Spices"/>
    <s v="Spices Pro"/>
    <n v="3"/>
    <n v="902"/>
    <n v="5"/>
    <n v="135.30000000000001"/>
    <n v="2570.6999999999998"/>
    <x v="0"/>
    <n v="2"/>
    <x v="0"/>
  </r>
  <r>
    <x v="160"/>
    <x v="160"/>
    <s v="CUST00243"/>
    <x v="5"/>
    <s v="Delhi"/>
    <x v="1"/>
    <s v="Shoes"/>
    <s v="Shoes Lite"/>
    <n v="2"/>
    <n v="3780"/>
    <n v="0"/>
    <n v="0"/>
    <n v="7560"/>
    <x v="0"/>
    <n v="2"/>
    <x v="0"/>
  </r>
  <r>
    <x v="161"/>
    <x v="161"/>
    <s v="CUST00041"/>
    <x v="7"/>
    <s v="Tamil Nadu"/>
    <x v="0"/>
    <s v="Bedsheet"/>
    <s v="Bedsheet Classic"/>
    <n v="2"/>
    <n v="2499"/>
    <n v="10"/>
    <n v="499.8"/>
    <n v="4498.2"/>
    <x v="0"/>
    <n v="1"/>
    <x v="0"/>
  </r>
  <r>
    <x v="162"/>
    <x v="162"/>
    <s v="CUST00287"/>
    <x v="5"/>
    <s v="Delhi"/>
    <x v="3"/>
    <s v="Shampoo"/>
    <s v="Shampoo Max"/>
    <n v="1"/>
    <n v="539"/>
    <n v="10"/>
    <n v="53.9"/>
    <n v="485.1"/>
    <x v="2"/>
    <n v="5"/>
    <x v="0"/>
  </r>
  <r>
    <x v="163"/>
    <x v="163"/>
    <s v="CUST00105"/>
    <x v="6"/>
    <s v="Maharashtra"/>
    <x v="1"/>
    <s v="Handbag"/>
    <s v="Handbag Max"/>
    <n v="2"/>
    <n v="4219"/>
    <n v="5"/>
    <n v="421.9"/>
    <n v="8016.1"/>
    <x v="3"/>
    <n v="4"/>
    <x v="0"/>
  </r>
  <r>
    <x v="164"/>
    <x v="164"/>
    <s v="CUST00051"/>
    <x v="7"/>
    <s v="Tamil Nadu"/>
    <x v="0"/>
    <s v="Mixer"/>
    <s v="Mixer Max"/>
    <n v="1"/>
    <n v="6372"/>
    <n v="0"/>
    <n v="0"/>
    <n v="6372"/>
    <x v="2"/>
    <n v="6"/>
    <x v="0"/>
  </r>
  <r>
    <x v="165"/>
    <x v="165"/>
    <s v="CUST00101"/>
    <x v="4"/>
    <s v="West Bengal"/>
    <x v="1"/>
    <s v="Watch"/>
    <s v="Watch Classic"/>
    <n v="2"/>
    <n v="4910"/>
    <n v="0"/>
    <n v="0"/>
    <n v="9820"/>
    <x v="2"/>
    <n v="6"/>
    <x v="0"/>
  </r>
  <r>
    <x v="166"/>
    <x v="166"/>
    <s v="CUST00236"/>
    <x v="9"/>
    <s v="Maharashtra"/>
    <x v="0"/>
    <s v="Mixer"/>
    <s v="Mixer Lite"/>
    <n v="2"/>
    <n v="7811"/>
    <n v="20"/>
    <n v="3124.4"/>
    <n v="12497.6"/>
    <x v="1"/>
    <n v="3"/>
    <x v="0"/>
  </r>
  <r>
    <x v="167"/>
    <x v="167"/>
    <s v="CUST00025"/>
    <x v="0"/>
    <s v="Tamil Nadu"/>
    <x v="3"/>
    <s v="Shampoo"/>
    <s v="Shampoo Lite"/>
    <n v="1"/>
    <n v="1185"/>
    <n v="5"/>
    <n v="59.25"/>
    <n v="1125.75"/>
    <x v="4"/>
    <n v="3"/>
    <x v="0"/>
  </r>
  <r>
    <x v="168"/>
    <x v="168"/>
    <s v="CUST00248"/>
    <x v="7"/>
    <s v="Tamil Nadu"/>
    <x v="2"/>
    <s v="Mobile"/>
    <s v="Mobile Classic"/>
    <n v="1"/>
    <n v="1276"/>
    <n v="5"/>
    <n v="63.8"/>
    <n v="1212.2"/>
    <x v="0"/>
    <n v="3"/>
    <x v="0"/>
  </r>
  <r>
    <x v="169"/>
    <x v="169"/>
    <s v="CUST00221"/>
    <x v="9"/>
    <s v="Maharashtra"/>
    <x v="2"/>
    <s v="Mobile"/>
    <s v="Mobile Classic"/>
    <n v="1"/>
    <n v="13078"/>
    <n v="0"/>
    <n v="0"/>
    <n v="13078"/>
    <x v="3"/>
    <n v="2"/>
    <x v="0"/>
  </r>
  <r>
    <x v="170"/>
    <x v="170"/>
    <s v="CUST00236"/>
    <x v="3"/>
    <s v="Tamil Nadu"/>
    <x v="1"/>
    <s v="Jeans"/>
    <s v="Jeans Max"/>
    <n v="1"/>
    <n v="659"/>
    <n v="5"/>
    <n v="32.950000000000003"/>
    <n v="626.04999999999995"/>
    <x v="3"/>
    <n v="3"/>
    <x v="0"/>
  </r>
  <r>
    <x v="171"/>
    <x v="171"/>
    <s v="CUST00088"/>
    <x v="2"/>
    <s v="Karnataka"/>
    <x v="3"/>
    <s v="Perfume"/>
    <s v="Perfume Max"/>
    <n v="1"/>
    <n v="237"/>
    <n v="0"/>
    <n v="0"/>
    <n v="237"/>
    <x v="2"/>
    <n v="5"/>
    <x v="0"/>
  </r>
  <r>
    <x v="172"/>
    <x v="172"/>
    <s v="CUST00039"/>
    <x v="8"/>
    <s v="Telangana"/>
    <x v="4"/>
    <s v="Snacks"/>
    <s v="Snacks Pro"/>
    <n v="1"/>
    <n v="345"/>
    <n v="10"/>
    <n v="34.5"/>
    <n v="310.5"/>
    <x v="2"/>
    <n v="3"/>
    <x v="1"/>
  </r>
  <r>
    <x v="173"/>
    <x v="173"/>
    <s v="CUST00289"/>
    <x v="5"/>
    <s v="Delhi"/>
    <x v="4"/>
    <s v="Spices"/>
    <s v="Spices Classic"/>
    <n v="1"/>
    <n v="758"/>
    <n v="0"/>
    <n v="0"/>
    <n v="758"/>
    <x v="3"/>
    <n v="4"/>
    <x v="0"/>
  </r>
  <r>
    <x v="174"/>
    <x v="174"/>
    <s v="CUST00204"/>
    <x v="4"/>
    <s v="West Bengal"/>
    <x v="2"/>
    <s v="Headphones"/>
    <s v="Headphones Plus"/>
    <n v="1"/>
    <n v="23818"/>
    <n v="10"/>
    <n v="2381.8000000000002"/>
    <n v="21436.2"/>
    <x v="4"/>
    <n v="1"/>
    <x v="0"/>
  </r>
  <r>
    <x v="175"/>
    <x v="175"/>
    <s v="CUST00152"/>
    <x v="5"/>
    <s v="Delhi"/>
    <x v="2"/>
    <s v="Mobile"/>
    <s v="Mobile Max"/>
    <n v="1"/>
    <n v="10610"/>
    <n v="0"/>
    <n v="0"/>
    <n v="10610"/>
    <x v="2"/>
    <n v="3"/>
    <x v="0"/>
  </r>
  <r>
    <x v="176"/>
    <x v="176"/>
    <s v="CUST00068"/>
    <x v="2"/>
    <s v="Karnataka"/>
    <x v="1"/>
    <s v="Watch"/>
    <s v="Watch Plus"/>
    <n v="1"/>
    <n v="3742"/>
    <n v="5"/>
    <n v="187.1"/>
    <n v="3554.9"/>
    <x v="0"/>
    <n v="3"/>
    <x v="0"/>
  </r>
  <r>
    <x v="177"/>
    <x v="177"/>
    <s v="CUST00198"/>
    <x v="0"/>
    <s v="Tamil Nadu"/>
    <x v="0"/>
    <s v="Curtains"/>
    <s v="Curtains Plus"/>
    <n v="2"/>
    <n v="4985"/>
    <n v="10"/>
    <n v="997"/>
    <n v="8973"/>
    <x v="0"/>
    <n v="2"/>
    <x v="0"/>
  </r>
  <r>
    <x v="178"/>
    <x v="178"/>
    <s v="CUST00033"/>
    <x v="9"/>
    <s v="Maharashtra"/>
    <x v="3"/>
    <s v="Lipstick"/>
    <s v="Lipstick Plus"/>
    <n v="1"/>
    <n v="655"/>
    <n v="5"/>
    <n v="32.75"/>
    <n v="622.25"/>
    <x v="4"/>
    <n v="2"/>
    <x v="0"/>
  </r>
  <r>
    <x v="179"/>
    <x v="179"/>
    <s v="CUST00156"/>
    <x v="0"/>
    <s v="Tamil Nadu"/>
    <x v="3"/>
    <s v="Lipstick"/>
    <s v="Lipstick Classic"/>
    <n v="1"/>
    <n v="1031"/>
    <n v="20"/>
    <n v="206.2"/>
    <n v="824.8"/>
    <x v="0"/>
    <n v="2"/>
    <x v="0"/>
  </r>
  <r>
    <x v="180"/>
    <x v="180"/>
    <s v="CUST00103"/>
    <x v="7"/>
    <s v="Tamil Nadu"/>
    <x v="0"/>
    <s v="Mixer"/>
    <s v="Mixer Plus"/>
    <n v="3"/>
    <n v="5017"/>
    <n v="5"/>
    <n v="752.55"/>
    <n v="14298.45"/>
    <x v="0"/>
    <n v="3"/>
    <x v="0"/>
  </r>
  <r>
    <x v="181"/>
    <x v="181"/>
    <s v="Unknown"/>
    <x v="3"/>
    <s v="Tamil Nadu"/>
    <x v="1"/>
    <s v="Handbag"/>
    <s v="Handbag Classic"/>
    <n v="1"/>
    <n v="620"/>
    <n v="0"/>
    <n v="0"/>
    <n v="620"/>
    <x v="2"/>
    <n v="8"/>
    <x v="1"/>
  </r>
  <r>
    <x v="182"/>
    <x v="182"/>
    <s v="CUST00256"/>
    <x v="9"/>
    <s v="Maharashtra"/>
    <x v="0"/>
    <s v="Mixer"/>
    <s v="Mixer Max"/>
    <n v="1"/>
    <n v="905"/>
    <n v="5"/>
    <n v="45.25"/>
    <n v="859.75"/>
    <x v="3"/>
    <n v="3"/>
    <x v="0"/>
  </r>
  <r>
    <x v="183"/>
    <x v="183"/>
    <s v="CUST00215"/>
    <x v="1"/>
    <s v="Tamil Nadu"/>
    <x v="2"/>
    <s v="Headphones"/>
    <s v="Headphones Classic"/>
    <n v="1"/>
    <n v="6069"/>
    <n v="10"/>
    <n v="606.9"/>
    <n v="5462.1"/>
    <x v="0"/>
    <n v="3"/>
    <x v="0"/>
  </r>
  <r>
    <x v="184"/>
    <x v="184"/>
    <s v="CUST00205"/>
    <x v="4"/>
    <s v="West Bengal"/>
    <x v="3"/>
    <s v="Face Wash"/>
    <s v="Face Wash Pro"/>
    <n v="1"/>
    <n v="1212"/>
    <n v="5"/>
    <n v="60.6"/>
    <n v="1151.4000000000001"/>
    <x v="4"/>
    <n v="2"/>
    <x v="0"/>
  </r>
  <r>
    <x v="185"/>
    <x v="185"/>
    <s v="CUST00238"/>
    <x v="3"/>
    <s v="Tamil Nadu"/>
    <x v="4"/>
    <s v="Dal"/>
    <s v="Dal Max"/>
    <n v="3"/>
    <n v="225"/>
    <n v="0"/>
    <n v="0"/>
    <n v="675"/>
    <x v="2"/>
    <n v="4"/>
    <x v="0"/>
  </r>
  <r>
    <x v="186"/>
    <x v="186"/>
    <s v="CUST00106"/>
    <x v="1"/>
    <s v="Tamil Nadu"/>
    <x v="3"/>
    <s v="Lipstick"/>
    <s v="Lipstick Plus"/>
    <n v="1"/>
    <n v="764"/>
    <n v="15"/>
    <n v="114.6"/>
    <n v="649.4"/>
    <x v="0"/>
    <n v="4"/>
    <x v="0"/>
  </r>
  <r>
    <x v="187"/>
    <x v="187"/>
    <s v="CUST00056"/>
    <x v="9"/>
    <s v="Maharashtra"/>
    <x v="1"/>
    <s v="Handbag"/>
    <s v="Handbag Lite"/>
    <n v="1"/>
    <n v="4986"/>
    <n v="10"/>
    <n v="498.6"/>
    <n v="4487.3999999999996"/>
    <x v="4"/>
    <n v="2"/>
    <x v="0"/>
  </r>
  <r>
    <x v="188"/>
    <x v="188"/>
    <s v="CUST00222"/>
    <x v="6"/>
    <s v="Maharashtra"/>
    <x v="2"/>
    <s v="Power Bank"/>
    <s v="Power Bank Lite"/>
    <n v="1"/>
    <n v="28651"/>
    <n v="0"/>
    <n v="0"/>
    <n v="28651"/>
    <x v="2"/>
    <n v="5"/>
    <x v="1"/>
  </r>
  <r>
    <x v="189"/>
    <x v="189"/>
    <s v="CUST00275"/>
    <x v="9"/>
    <s v="Maharashtra"/>
    <x v="0"/>
    <s v="Cooker"/>
    <s v="Cooker Lite"/>
    <n v="1"/>
    <n v="4623"/>
    <n v="5"/>
    <n v="231.15"/>
    <n v="4391.8500000000004"/>
    <x v="4"/>
    <n v="3"/>
    <x v="0"/>
  </r>
  <r>
    <x v="190"/>
    <x v="190"/>
    <s v="CUST00181"/>
    <x v="7"/>
    <s v="Tamil Nadu"/>
    <x v="4"/>
    <s v="Dal"/>
    <s v="Dal Max"/>
    <n v="3"/>
    <n v="691"/>
    <n v="0"/>
    <n v="0"/>
    <n v="2073"/>
    <x v="0"/>
    <n v="2"/>
    <x v="0"/>
  </r>
  <r>
    <x v="191"/>
    <x v="191"/>
    <s v="CUST00073"/>
    <x v="1"/>
    <s v="Tamil Nadu"/>
    <x v="3"/>
    <s v="Perfume"/>
    <s v="Perfume Classic"/>
    <n v="1"/>
    <n v="1146"/>
    <n v="5"/>
    <n v="57.3"/>
    <n v="1088.7"/>
    <x v="2"/>
    <n v="8"/>
    <x v="1"/>
  </r>
  <r>
    <x v="192"/>
    <x v="192"/>
    <s v="CUST00251"/>
    <x v="8"/>
    <s v="Telangana"/>
    <x v="1"/>
    <s v="Jeans"/>
    <s v="Jeans Max"/>
    <n v="2"/>
    <n v="3341"/>
    <n v="0"/>
    <n v="0"/>
    <n v="6682"/>
    <x v="3"/>
    <n v="3"/>
    <x v="0"/>
  </r>
  <r>
    <x v="193"/>
    <x v="193"/>
    <s v="CUST00254"/>
    <x v="6"/>
    <s v="Maharashtra"/>
    <x v="3"/>
    <s v="Perfume"/>
    <s v="Perfume Plus"/>
    <n v="1"/>
    <n v="1708"/>
    <n v="0"/>
    <n v="0"/>
    <n v="1708"/>
    <x v="0"/>
    <n v="3"/>
    <x v="0"/>
  </r>
  <r>
    <x v="194"/>
    <x v="194"/>
    <s v="CUST00235"/>
    <x v="3"/>
    <s v="Tamil Nadu"/>
    <x v="3"/>
    <s v="Moisturizer"/>
    <s v="Moisturizer Classic"/>
    <n v="1"/>
    <n v="1262"/>
    <n v="5"/>
    <n v="63.1"/>
    <n v="1198.9000000000001"/>
    <x v="2"/>
    <n v="7"/>
    <x v="0"/>
  </r>
  <r>
    <x v="195"/>
    <x v="195"/>
    <s v="CUST00218"/>
    <x v="2"/>
    <s v="Karnataka"/>
    <x v="1"/>
    <s v="Shoes"/>
    <s v="Shoes Pro"/>
    <n v="1"/>
    <n v="1112"/>
    <n v="10"/>
    <n v="111.2"/>
    <n v="1000.8"/>
    <x v="0"/>
    <n v="4"/>
    <x v="0"/>
  </r>
  <r>
    <x v="196"/>
    <x v="196"/>
    <s v="CUST00180"/>
    <x v="3"/>
    <s v="Tamil Nadu"/>
    <x v="3"/>
    <s v="Shampoo"/>
    <s v="Shampoo Classic"/>
    <n v="1"/>
    <n v="271"/>
    <n v="5"/>
    <n v="13.55"/>
    <n v="257.45"/>
    <x v="0"/>
    <n v="3"/>
    <x v="0"/>
  </r>
  <r>
    <x v="197"/>
    <x v="197"/>
    <s v="CUST00150"/>
    <x v="8"/>
    <s v="Telangana"/>
    <x v="4"/>
    <s v="Oil"/>
    <s v="Oil Classic"/>
    <n v="3"/>
    <n v="892"/>
    <n v="15"/>
    <n v="401.4"/>
    <n v="2274.6"/>
    <x v="1"/>
    <n v="4"/>
    <x v="0"/>
  </r>
  <r>
    <x v="198"/>
    <x v="198"/>
    <s v="CUST00068"/>
    <x v="5"/>
    <s v="Delhi"/>
    <x v="1"/>
    <s v="Shoes"/>
    <s v="Shoes Lite"/>
    <n v="2"/>
    <n v="4409"/>
    <n v="0"/>
    <n v="0"/>
    <n v="8818"/>
    <x v="3"/>
    <n v="2"/>
    <x v="0"/>
  </r>
  <r>
    <x v="199"/>
    <x v="199"/>
    <s v="CUST00048"/>
    <x v="6"/>
    <s v="Maharashtra"/>
    <x v="4"/>
    <s v="Oil"/>
    <s v="Oil Max"/>
    <n v="1"/>
    <n v="240"/>
    <n v="10"/>
    <n v="24"/>
    <n v="216"/>
    <x v="3"/>
    <n v="3"/>
    <x v="0"/>
  </r>
  <r>
    <x v="200"/>
    <x v="200"/>
    <s v="CUST00033"/>
    <x v="1"/>
    <s v="Tamil Nadu"/>
    <x v="3"/>
    <s v="Shampoo"/>
    <s v="Shampoo Plus"/>
    <n v="2"/>
    <n v="1846"/>
    <n v="5"/>
    <n v="184.6"/>
    <n v="3507.4"/>
    <x v="4"/>
    <n v="3"/>
    <x v="0"/>
  </r>
  <r>
    <x v="201"/>
    <x v="201"/>
    <s v="Unknown"/>
    <x v="0"/>
    <s v="Tamil Nadu"/>
    <x v="2"/>
    <s v="Mobile"/>
    <s v="Mobile Plus"/>
    <n v="1"/>
    <n v="10853"/>
    <n v="0"/>
    <n v="0"/>
    <n v="10853"/>
    <x v="4"/>
    <n v="1"/>
    <x v="0"/>
  </r>
  <r>
    <x v="202"/>
    <x v="202"/>
    <s v="CUST00155"/>
    <x v="9"/>
    <s v="Maharashtra"/>
    <x v="0"/>
    <s v="Bedsheet"/>
    <s v="Bedsheet Max"/>
    <n v="1"/>
    <n v="724"/>
    <n v="5"/>
    <n v="36.200000000000003"/>
    <n v="687.8"/>
    <x v="4"/>
    <n v="2"/>
    <x v="0"/>
  </r>
  <r>
    <x v="203"/>
    <x v="203"/>
    <s v="CUST00047"/>
    <x v="2"/>
    <s v="Karnataka"/>
    <x v="2"/>
    <s v="Laptop"/>
    <s v="Laptop Plus"/>
    <n v="1"/>
    <n v="39407"/>
    <n v="0"/>
    <n v="0"/>
    <n v="39407"/>
    <x v="4"/>
    <n v="4"/>
    <x v="0"/>
  </r>
  <r>
    <x v="204"/>
    <x v="204"/>
    <s v="CUST00068"/>
    <x v="7"/>
    <s v="Tamil Nadu"/>
    <x v="2"/>
    <s v="Laptop"/>
    <s v="Laptop Plus"/>
    <n v="1"/>
    <n v="7212"/>
    <n v="0"/>
    <n v="0"/>
    <n v="7212"/>
    <x v="2"/>
    <n v="7"/>
    <x v="1"/>
  </r>
  <r>
    <x v="205"/>
    <x v="205"/>
    <s v="CUST00074"/>
    <x v="2"/>
    <s v="Karnataka"/>
    <x v="4"/>
    <s v="Snacks"/>
    <s v="Snacks Pro"/>
    <n v="1"/>
    <n v="486"/>
    <n v="10"/>
    <n v="48.6"/>
    <n v="437.4"/>
    <x v="0"/>
    <n v="2"/>
    <x v="0"/>
  </r>
  <r>
    <x v="206"/>
    <x v="206"/>
    <s v="CUST00227"/>
    <x v="5"/>
    <s v="Delhi"/>
    <x v="2"/>
    <s v="Mobile"/>
    <s v="Mobile Lite"/>
    <n v="2"/>
    <n v="39138"/>
    <n v="10"/>
    <n v="7827.6"/>
    <n v="70448.399999999994"/>
    <x v="0"/>
    <n v="3"/>
    <x v="0"/>
  </r>
  <r>
    <x v="207"/>
    <x v="207"/>
    <s v="CUST00146"/>
    <x v="0"/>
    <s v="Tamil Nadu"/>
    <x v="0"/>
    <s v="Mixer"/>
    <s v="Mixer Classic"/>
    <n v="1"/>
    <n v="2721"/>
    <n v="10"/>
    <n v="272.10000000000002"/>
    <n v="2448.9"/>
    <x v="2"/>
    <n v="3"/>
    <x v="0"/>
  </r>
  <r>
    <x v="208"/>
    <x v="208"/>
    <s v="CUST00037"/>
    <x v="1"/>
    <s v="Tamil Nadu"/>
    <x v="2"/>
    <s v="Headphones"/>
    <s v="Headphones Max"/>
    <n v="1"/>
    <n v="37749"/>
    <n v="0"/>
    <n v="0"/>
    <n v="37749"/>
    <x v="3"/>
    <n v="5"/>
    <x v="0"/>
  </r>
  <r>
    <x v="209"/>
    <x v="209"/>
    <s v="CUST00009"/>
    <x v="3"/>
    <s v="Tamil Nadu"/>
    <x v="2"/>
    <s v="Mobile"/>
    <s v="Mobile Max"/>
    <n v="1"/>
    <n v="4462"/>
    <n v="10"/>
    <n v="446.2"/>
    <n v="4015.8"/>
    <x v="2"/>
    <n v="6"/>
    <x v="0"/>
  </r>
  <r>
    <x v="210"/>
    <x v="210"/>
    <s v="CUST00275"/>
    <x v="1"/>
    <s v="Tamil Nadu"/>
    <x v="4"/>
    <s v="Dal"/>
    <s v="Dal Max"/>
    <n v="1"/>
    <n v="368"/>
    <n v="5"/>
    <n v="18.399999999999999"/>
    <n v="349.6"/>
    <x v="3"/>
    <n v="3"/>
    <x v="0"/>
  </r>
  <r>
    <x v="211"/>
    <x v="211"/>
    <s v="CUST00034"/>
    <x v="8"/>
    <s v="Telangana"/>
    <x v="3"/>
    <s v="Shampoo"/>
    <s v="Shampoo Pro"/>
    <n v="1"/>
    <n v="1403"/>
    <n v="0"/>
    <n v="0"/>
    <n v="1403"/>
    <x v="4"/>
    <n v="3"/>
    <x v="0"/>
  </r>
  <r>
    <x v="212"/>
    <x v="212"/>
    <s v="CUST00062"/>
    <x v="0"/>
    <s v="Tamil Nadu"/>
    <x v="1"/>
    <s v="T-Shirt"/>
    <s v="T-Shirt Lite"/>
    <n v="1"/>
    <n v="4684"/>
    <n v="0"/>
    <n v="0"/>
    <n v="4684"/>
    <x v="0"/>
    <n v="3"/>
    <x v="0"/>
  </r>
  <r>
    <x v="213"/>
    <x v="213"/>
    <s v="CUST00061"/>
    <x v="0"/>
    <s v="Tamil Nadu"/>
    <x v="0"/>
    <s v="Curtains"/>
    <s v="Curtains Max"/>
    <n v="1"/>
    <n v="4364"/>
    <n v="5"/>
    <n v="218.2"/>
    <n v="4145.8"/>
    <x v="3"/>
    <n v="3"/>
    <x v="0"/>
  </r>
  <r>
    <x v="214"/>
    <x v="214"/>
    <s v="CUST00081"/>
    <x v="8"/>
    <s v="Telangana"/>
    <x v="2"/>
    <s v="Power Bank"/>
    <s v="Power Bank Pro"/>
    <n v="1"/>
    <n v="33846"/>
    <n v="0"/>
    <n v="0"/>
    <n v="33846"/>
    <x v="3"/>
    <n v="2"/>
    <x v="0"/>
  </r>
  <r>
    <x v="215"/>
    <x v="215"/>
    <s v="CUST00092"/>
    <x v="0"/>
    <s v="Tamil Nadu"/>
    <x v="4"/>
    <s v="Spices"/>
    <s v="Spices Lite"/>
    <n v="1"/>
    <n v="209"/>
    <n v="5"/>
    <n v="10.45"/>
    <n v="198.55"/>
    <x v="0"/>
    <n v="3"/>
    <x v="0"/>
  </r>
  <r>
    <x v="216"/>
    <x v="216"/>
    <s v="CUST00092"/>
    <x v="5"/>
    <s v="Delhi"/>
    <x v="4"/>
    <s v="Rice"/>
    <s v="Rice Plus"/>
    <n v="1"/>
    <n v="686"/>
    <n v="5"/>
    <n v="34.299999999999997"/>
    <n v="651.70000000000005"/>
    <x v="4"/>
    <n v="1"/>
    <x v="0"/>
  </r>
  <r>
    <x v="217"/>
    <x v="217"/>
    <s v="CUST00150"/>
    <x v="3"/>
    <s v="Tamil Nadu"/>
    <x v="0"/>
    <s v="Dinner Set"/>
    <s v="Dinner Set Lite"/>
    <n v="1"/>
    <n v="6629"/>
    <n v="10"/>
    <n v="662.9"/>
    <n v="5966.1"/>
    <x v="3"/>
    <n v="3"/>
    <x v="0"/>
  </r>
  <r>
    <x v="218"/>
    <x v="218"/>
    <s v="CUST00004"/>
    <x v="6"/>
    <s v="Maharashtra"/>
    <x v="2"/>
    <s v="Laptop"/>
    <s v="Laptop Classic"/>
    <n v="1"/>
    <n v="1128"/>
    <n v="5"/>
    <n v="56.4"/>
    <n v="1071.5999999999999"/>
    <x v="2"/>
    <n v="3"/>
    <x v="0"/>
  </r>
  <r>
    <x v="219"/>
    <x v="219"/>
    <s v="CUST00215"/>
    <x v="7"/>
    <s v="Tamil Nadu"/>
    <x v="2"/>
    <s v="Laptop"/>
    <s v="Laptop Max"/>
    <n v="1"/>
    <n v="15669"/>
    <n v="5"/>
    <n v="783.45"/>
    <n v="14885.55"/>
    <x v="2"/>
    <n v="6"/>
    <x v="0"/>
  </r>
  <r>
    <x v="220"/>
    <x v="220"/>
    <s v="CUST00202"/>
    <x v="2"/>
    <s v="Karnataka"/>
    <x v="4"/>
    <s v="Snacks"/>
    <s v="Snacks Pro"/>
    <n v="1"/>
    <n v="695"/>
    <n v="15"/>
    <n v="104.25"/>
    <n v="590.75"/>
    <x v="3"/>
    <n v="4"/>
    <x v="0"/>
  </r>
  <r>
    <x v="221"/>
    <x v="221"/>
    <s v="CUST00163"/>
    <x v="7"/>
    <s v="Tamil Nadu"/>
    <x v="0"/>
    <s v="Mixer"/>
    <s v="Mixer Pro"/>
    <n v="3"/>
    <n v="1573"/>
    <n v="5"/>
    <n v="235.95"/>
    <n v="4483.05"/>
    <x v="0"/>
    <n v="1"/>
    <x v="0"/>
  </r>
  <r>
    <x v="222"/>
    <x v="222"/>
    <s v="CUST00107"/>
    <x v="7"/>
    <s v="Tamil Nadu"/>
    <x v="0"/>
    <s v="Curtains"/>
    <s v="Curtains Max"/>
    <n v="2"/>
    <n v="6915"/>
    <n v="15"/>
    <n v="2074.5"/>
    <n v="11755.5"/>
    <x v="4"/>
    <n v="1"/>
    <x v="0"/>
  </r>
  <r>
    <x v="223"/>
    <x v="223"/>
    <s v="CUST00076"/>
    <x v="2"/>
    <s v="Karnataka"/>
    <x v="1"/>
    <s v="Shoes"/>
    <s v="Shoes Plus"/>
    <n v="1"/>
    <n v="2531"/>
    <n v="20"/>
    <n v="506.2"/>
    <n v="2024.8"/>
    <x v="2"/>
    <n v="4"/>
    <x v="0"/>
  </r>
  <r>
    <x v="224"/>
    <x v="224"/>
    <s v="CUST00237"/>
    <x v="2"/>
    <s v="Karnataka"/>
    <x v="1"/>
    <s v="T-Shirt"/>
    <s v="T-Shirt Pro"/>
    <n v="1"/>
    <n v="1470"/>
    <n v="5"/>
    <n v="73.5"/>
    <n v="1396.5"/>
    <x v="4"/>
    <n v="3"/>
    <x v="0"/>
  </r>
  <r>
    <x v="225"/>
    <x v="225"/>
    <s v="CUST00133"/>
    <x v="2"/>
    <s v="Karnataka"/>
    <x v="2"/>
    <s v="Mobile"/>
    <s v="Mobile Lite"/>
    <n v="3"/>
    <n v="29560"/>
    <n v="0"/>
    <n v="0"/>
    <n v="88680"/>
    <x v="2"/>
    <n v="2"/>
    <x v="0"/>
  </r>
  <r>
    <x v="226"/>
    <x v="226"/>
    <s v="CUST00203"/>
    <x v="7"/>
    <s v="Tamil Nadu"/>
    <x v="2"/>
    <s v="Smart Watch"/>
    <s v="Smart Watch Plus"/>
    <n v="1"/>
    <n v="14571"/>
    <n v="15"/>
    <n v="2185.65"/>
    <n v="12385.35"/>
    <x v="0"/>
    <n v="3"/>
    <x v="0"/>
  </r>
  <r>
    <x v="227"/>
    <x v="227"/>
    <s v="CUST00256"/>
    <x v="6"/>
    <s v="Maharashtra"/>
    <x v="4"/>
    <s v="Spices"/>
    <s v="Spices Pro"/>
    <n v="1"/>
    <n v="1366"/>
    <n v="15"/>
    <n v="204.9"/>
    <n v="1161.0999999999999"/>
    <x v="3"/>
    <n v="3"/>
    <x v="0"/>
  </r>
  <r>
    <x v="228"/>
    <x v="228"/>
    <s v="CUST00010"/>
    <x v="6"/>
    <s v="Maharashtra"/>
    <x v="0"/>
    <s v="Curtains"/>
    <s v="Curtains Classic"/>
    <n v="2"/>
    <n v="2934"/>
    <n v="0"/>
    <n v="0"/>
    <n v="5868"/>
    <x v="0"/>
    <n v="2"/>
    <x v="0"/>
  </r>
  <r>
    <x v="229"/>
    <x v="229"/>
    <s v="CUST00242"/>
    <x v="1"/>
    <s v="Tamil Nadu"/>
    <x v="0"/>
    <s v="Dinner Set"/>
    <s v="Dinner Set Lite"/>
    <n v="3"/>
    <n v="5681"/>
    <n v="5"/>
    <n v="852.15"/>
    <n v="16190.85"/>
    <x v="2"/>
    <n v="7"/>
    <x v="0"/>
  </r>
  <r>
    <x v="230"/>
    <x v="230"/>
    <s v="CUST00295"/>
    <x v="6"/>
    <s v="Maharashtra"/>
    <x v="0"/>
    <s v="Mixer"/>
    <s v="Mixer Lite"/>
    <n v="1"/>
    <n v="7787"/>
    <n v="10"/>
    <n v="778.7"/>
    <n v="7008.3"/>
    <x v="3"/>
    <n v="3"/>
    <x v="0"/>
  </r>
  <r>
    <x v="231"/>
    <x v="231"/>
    <s v="CUST00289"/>
    <x v="5"/>
    <s v="Delhi"/>
    <x v="3"/>
    <s v="Moisturizer"/>
    <s v="Moisturizer Max"/>
    <n v="1"/>
    <n v="626"/>
    <n v="0"/>
    <n v="0"/>
    <n v="626"/>
    <x v="3"/>
    <n v="1"/>
    <x v="0"/>
  </r>
  <r>
    <x v="232"/>
    <x v="232"/>
    <s v="CUST00104"/>
    <x v="9"/>
    <s v="Maharashtra"/>
    <x v="0"/>
    <s v="Mixer"/>
    <s v="Mixer Max"/>
    <n v="1"/>
    <n v="6643"/>
    <n v="15"/>
    <n v="996.45"/>
    <n v="5646.55"/>
    <x v="1"/>
    <n v="2"/>
    <x v="0"/>
  </r>
  <r>
    <x v="233"/>
    <x v="233"/>
    <s v="CUST00203"/>
    <x v="3"/>
    <s v="Tamil Nadu"/>
    <x v="2"/>
    <s v="Headphones"/>
    <s v="Headphones Max"/>
    <n v="1"/>
    <n v="10822"/>
    <n v="10"/>
    <n v="1082.2"/>
    <n v="9739.7999999999993"/>
    <x v="0"/>
    <n v="5"/>
    <x v="0"/>
  </r>
  <r>
    <x v="234"/>
    <x v="234"/>
    <s v="CUST00183"/>
    <x v="5"/>
    <s v="Delhi"/>
    <x v="4"/>
    <s v="Dal"/>
    <s v="Dal Plus"/>
    <n v="1"/>
    <n v="53"/>
    <n v="15"/>
    <n v="7.95"/>
    <n v="45.05"/>
    <x v="2"/>
    <n v="3"/>
    <x v="0"/>
  </r>
  <r>
    <x v="235"/>
    <x v="235"/>
    <s v="CUST00017"/>
    <x v="9"/>
    <s v="Maharashtra"/>
    <x v="4"/>
    <s v="Oil"/>
    <s v="Oil Classic"/>
    <n v="1"/>
    <n v="338"/>
    <n v="5"/>
    <n v="16.899999999999999"/>
    <n v="321.10000000000002"/>
    <x v="0"/>
    <n v="2"/>
    <x v="0"/>
  </r>
  <r>
    <x v="236"/>
    <x v="236"/>
    <s v="CUST00086"/>
    <x v="2"/>
    <s v="Karnataka"/>
    <x v="0"/>
    <s v="Curtains"/>
    <s v="Curtains Pro"/>
    <n v="1"/>
    <n v="3171"/>
    <n v="10"/>
    <n v="317.10000000000002"/>
    <n v="2853.9"/>
    <x v="0"/>
    <n v="2"/>
    <x v="0"/>
  </r>
  <r>
    <x v="237"/>
    <x v="237"/>
    <s v="CUST00086"/>
    <x v="6"/>
    <s v="Maharashtra"/>
    <x v="3"/>
    <s v="Perfume"/>
    <s v="Perfume Max"/>
    <n v="1"/>
    <n v="1919"/>
    <n v="10"/>
    <n v="191.9"/>
    <n v="1727.1"/>
    <x v="4"/>
    <n v="2"/>
    <x v="0"/>
  </r>
  <r>
    <x v="238"/>
    <x v="238"/>
    <s v="CUST00018"/>
    <x v="8"/>
    <s v="Telangana"/>
    <x v="2"/>
    <s v="Headphones"/>
    <s v="Headphones Max"/>
    <n v="3"/>
    <n v="5362"/>
    <n v="0"/>
    <n v="0"/>
    <n v="16086"/>
    <x v="0"/>
    <n v="4"/>
    <x v="0"/>
  </r>
  <r>
    <x v="239"/>
    <x v="239"/>
    <s v="CUST00174"/>
    <x v="3"/>
    <s v="Tamil Nadu"/>
    <x v="4"/>
    <s v="Spices"/>
    <s v="Spices Pro"/>
    <n v="1"/>
    <n v="257"/>
    <n v="5"/>
    <n v="12.85"/>
    <n v="244.15"/>
    <x v="1"/>
    <n v="2"/>
    <x v="0"/>
  </r>
  <r>
    <x v="240"/>
    <x v="240"/>
    <s v="CUST00277"/>
    <x v="8"/>
    <s v="Telangana"/>
    <x v="0"/>
    <s v="Cooker"/>
    <s v="Cooker Lite"/>
    <n v="1"/>
    <n v="7180"/>
    <n v="0"/>
    <n v="0"/>
    <n v="7180"/>
    <x v="0"/>
    <n v="1"/>
    <x v="0"/>
  </r>
  <r>
    <x v="241"/>
    <x v="241"/>
    <s v="CUST00246"/>
    <x v="5"/>
    <s v="Delhi"/>
    <x v="2"/>
    <s v="Mobile"/>
    <s v="Mobile Lite"/>
    <n v="1"/>
    <n v="19624"/>
    <n v="5"/>
    <n v="981.2"/>
    <n v="18642.8"/>
    <x v="3"/>
    <n v="2"/>
    <x v="0"/>
  </r>
  <r>
    <x v="242"/>
    <x v="242"/>
    <s v="CUST00136"/>
    <x v="2"/>
    <s v="Karnataka"/>
    <x v="4"/>
    <s v="Spices"/>
    <s v="Spices Lite"/>
    <n v="1"/>
    <n v="141"/>
    <n v="0"/>
    <n v="0"/>
    <n v="141"/>
    <x v="3"/>
    <n v="2"/>
    <x v="0"/>
  </r>
  <r>
    <x v="243"/>
    <x v="243"/>
    <s v="CUST00078"/>
    <x v="2"/>
    <s v="Karnataka"/>
    <x v="2"/>
    <s v="Headphones"/>
    <s v="Headphones Classic"/>
    <n v="1"/>
    <n v="39148"/>
    <n v="15"/>
    <n v="5872.2"/>
    <n v="33275.800000000003"/>
    <x v="3"/>
    <n v="3"/>
    <x v="0"/>
  </r>
  <r>
    <x v="244"/>
    <x v="244"/>
    <s v="CUST00294"/>
    <x v="5"/>
    <s v="Delhi"/>
    <x v="3"/>
    <s v="Lipstick"/>
    <s v="Lipstick Pro"/>
    <n v="1"/>
    <n v="1994"/>
    <n v="15"/>
    <n v="299.10000000000002"/>
    <n v="1694.9"/>
    <x v="4"/>
    <n v="3"/>
    <x v="0"/>
  </r>
  <r>
    <x v="245"/>
    <x v="245"/>
    <s v="CUST00230"/>
    <x v="9"/>
    <s v="Maharashtra"/>
    <x v="1"/>
    <s v="Jeans"/>
    <s v="Jeans Lite"/>
    <n v="1"/>
    <n v="1041"/>
    <n v="20"/>
    <n v="208.2"/>
    <n v="832.8"/>
    <x v="4"/>
    <n v="4"/>
    <x v="0"/>
  </r>
  <r>
    <x v="246"/>
    <x v="246"/>
    <s v="CUST00035"/>
    <x v="2"/>
    <s v="Karnataka"/>
    <x v="3"/>
    <s v="Moisturizer"/>
    <s v="Moisturizer Plus"/>
    <n v="1"/>
    <n v="1938"/>
    <n v="10"/>
    <n v="193.8"/>
    <n v="1744.2"/>
    <x v="4"/>
    <n v="3"/>
    <x v="0"/>
  </r>
  <r>
    <x v="247"/>
    <x v="247"/>
    <s v="CUST00058"/>
    <x v="6"/>
    <s v="Maharashtra"/>
    <x v="1"/>
    <s v="Jeans"/>
    <s v="Jeans Classic"/>
    <n v="1"/>
    <n v="1265"/>
    <n v="10"/>
    <n v="126.5"/>
    <n v="1138.5"/>
    <x v="2"/>
    <n v="5"/>
    <x v="0"/>
  </r>
  <r>
    <x v="248"/>
    <x v="248"/>
    <s v="CUST00249"/>
    <x v="3"/>
    <s v="Tamil Nadu"/>
    <x v="4"/>
    <s v="Spices"/>
    <s v="Spices Pro"/>
    <n v="1"/>
    <n v="1444"/>
    <n v="10"/>
    <n v="144.4"/>
    <n v="1299.5999999999999"/>
    <x v="0"/>
    <n v="4"/>
    <x v="0"/>
  </r>
  <r>
    <x v="249"/>
    <x v="249"/>
    <s v="CUST00122"/>
    <x v="0"/>
    <s v="Tamil Nadu"/>
    <x v="3"/>
    <s v="Lipstick"/>
    <s v="Lipstick Max"/>
    <n v="1"/>
    <n v="1876"/>
    <n v="15"/>
    <n v="281.39999999999998"/>
    <n v="1594.6"/>
    <x v="4"/>
    <n v="5"/>
    <x v="0"/>
  </r>
  <r>
    <x v="250"/>
    <x v="250"/>
    <s v="CUST00069"/>
    <x v="8"/>
    <s v="Telangana"/>
    <x v="3"/>
    <s v="Lipstick"/>
    <s v="Lipstick Max"/>
    <n v="2"/>
    <n v="582"/>
    <n v="10"/>
    <n v="116.4"/>
    <n v="1047.5999999999999"/>
    <x v="2"/>
    <n v="5"/>
    <x v="0"/>
  </r>
  <r>
    <x v="251"/>
    <x v="251"/>
    <s v="CUST00082"/>
    <x v="2"/>
    <s v="Karnataka"/>
    <x v="0"/>
    <s v="Dinner Set"/>
    <s v="Dinner Set Plus"/>
    <n v="1"/>
    <n v="1723"/>
    <n v="15"/>
    <n v="258.45"/>
    <n v="1464.55"/>
    <x v="0"/>
    <n v="2"/>
    <x v="0"/>
  </r>
  <r>
    <x v="252"/>
    <x v="252"/>
    <s v="CUST00102"/>
    <x v="8"/>
    <s v="Telangana"/>
    <x v="0"/>
    <s v="Curtains"/>
    <s v="Curtains Classic"/>
    <n v="1"/>
    <n v="2281"/>
    <n v="5"/>
    <n v="114.05"/>
    <n v="2166.9499999999998"/>
    <x v="0"/>
    <n v="4"/>
    <x v="0"/>
  </r>
  <r>
    <x v="253"/>
    <x v="253"/>
    <s v="CUST00283"/>
    <x v="4"/>
    <s v="West Bengal"/>
    <x v="0"/>
    <s v="Mixer"/>
    <s v="Mixer Max"/>
    <n v="2"/>
    <n v="524"/>
    <n v="0"/>
    <n v="0"/>
    <n v="1048"/>
    <x v="4"/>
    <n v="5"/>
    <x v="0"/>
  </r>
  <r>
    <x v="254"/>
    <x v="254"/>
    <s v="CUST00116"/>
    <x v="5"/>
    <s v="Delhi"/>
    <x v="0"/>
    <s v="Curtains"/>
    <s v="Curtains Classic"/>
    <n v="1"/>
    <n v="7767"/>
    <n v="0"/>
    <n v="0"/>
    <n v="7767"/>
    <x v="2"/>
    <n v="3"/>
    <x v="0"/>
  </r>
  <r>
    <x v="255"/>
    <x v="255"/>
    <s v="CUST00141"/>
    <x v="6"/>
    <s v="Maharashtra"/>
    <x v="3"/>
    <s v="Lipstick"/>
    <s v="Lipstick Plus"/>
    <n v="1"/>
    <n v="1216"/>
    <n v="5"/>
    <n v="60.8"/>
    <n v="1155.2"/>
    <x v="0"/>
    <n v="3"/>
    <x v="0"/>
  </r>
  <r>
    <x v="256"/>
    <x v="256"/>
    <s v="CUST00192"/>
    <x v="1"/>
    <s v="Tamil Nadu"/>
    <x v="4"/>
    <s v="Snacks"/>
    <s v="Snacks Max"/>
    <n v="1"/>
    <n v="616"/>
    <n v="10"/>
    <n v="61.6"/>
    <n v="554.4"/>
    <x v="2"/>
    <n v="5"/>
    <x v="0"/>
  </r>
  <r>
    <x v="257"/>
    <x v="257"/>
    <s v="CUST00153"/>
    <x v="5"/>
    <s v="Delhi"/>
    <x v="1"/>
    <s v="Handbag"/>
    <s v="Handbag Lite"/>
    <n v="2"/>
    <n v="3710"/>
    <n v="0"/>
    <n v="0"/>
    <n v="7420"/>
    <x v="0"/>
    <n v="2"/>
    <x v="0"/>
  </r>
  <r>
    <x v="258"/>
    <x v="258"/>
    <s v="CUST00215"/>
    <x v="6"/>
    <s v="Maharashtra"/>
    <x v="3"/>
    <s v="Face Wash"/>
    <s v="Face Wash Classic"/>
    <n v="2"/>
    <n v="1637"/>
    <n v="10"/>
    <n v="327.39999999999998"/>
    <n v="2946.6"/>
    <x v="4"/>
    <n v="2"/>
    <x v="0"/>
  </r>
  <r>
    <x v="259"/>
    <x v="259"/>
    <s v="CUST00184"/>
    <x v="1"/>
    <s v="Tamil Nadu"/>
    <x v="0"/>
    <s v="Mixer"/>
    <s v="Mixer Classic"/>
    <n v="1"/>
    <n v="1348"/>
    <n v="10"/>
    <n v="134.80000000000001"/>
    <n v="1213.2"/>
    <x v="4"/>
    <n v="4"/>
    <x v="0"/>
  </r>
  <r>
    <x v="260"/>
    <x v="260"/>
    <s v="CUST00172"/>
    <x v="2"/>
    <s v="Karnataka"/>
    <x v="1"/>
    <s v="Shoes"/>
    <s v="Shoes Lite"/>
    <n v="2"/>
    <n v="3844"/>
    <n v="5"/>
    <n v="384.4"/>
    <n v="7303.6"/>
    <x v="4"/>
    <n v="2"/>
    <x v="0"/>
  </r>
  <r>
    <x v="261"/>
    <x v="261"/>
    <s v="CUST00241"/>
    <x v="0"/>
    <s v="Tamil Nadu"/>
    <x v="4"/>
    <s v="Snacks"/>
    <s v="Snacks Classic"/>
    <n v="1"/>
    <n v="1444"/>
    <n v="5"/>
    <n v="72.2"/>
    <n v="1371.8"/>
    <x v="0"/>
    <n v="1"/>
    <x v="0"/>
  </r>
  <r>
    <x v="262"/>
    <x v="262"/>
    <s v="CUST00071"/>
    <x v="5"/>
    <s v="Delhi"/>
    <x v="0"/>
    <s v="Curtains"/>
    <s v="Curtains Classic"/>
    <n v="2"/>
    <n v="2891"/>
    <n v="10"/>
    <n v="578.20000000000005"/>
    <n v="5203.8"/>
    <x v="3"/>
    <n v="3"/>
    <x v="0"/>
  </r>
  <r>
    <x v="263"/>
    <x v="263"/>
    <s v="CUST00161"/>
    <x v="0"/>
    <s v="Tamil Nadu"/>
    <x v="2"/>
    <s v="Smart Watch"/>
    <s v="Smart Watch Max"/>
    <n v="1"/>
    <n v="11549"/>
    <n v="0"/>
    <n v="0"/>
    <n v="11549"/>
    <x v="3"/>
    <n v="2"/>
    <x v="0"/>
  </r>
  <r>
    <x v="264"/>
    <x v="264"/>
    <s v="CUST00245"/>
    <x v="6"/>
    <s v="Maharashtra"/>
    <x v="2"/>
    <s v="Mobile"/>
    <s v="Mobile Classic"/>
    <n v="1"/>
    <n v="24951"/>
    <n v="0"/>
    <n v="0"/>
    <n v="24951"/>
    <x v="4"/>
    <n v="3"/>
    <x v="0"/>
  </r>
  <r>
    <x v="265"/>
    <x v="265"/>
    <s v="CUST00177"/>
    <x v="8"/>
    <s v="Telangana"/>
    <x v="1"/>
    <s v="T-Shirt"/>
    <s v="T-Shirt Plus"/>
    <n v="1"/>
    <n v="1768"/>
    <n v="0"/>
    <n v="0"/>
    <n v="1768"/>
    <x v="0"/>
    <n v="3"/>
    <x v="0"/>
  </r>
  <r>
    <x v="266"/>
    <x v="266"/>
    <s v="CUST00269"/>
    <x v="4"/>
    <s v="West Bengal"/>
    <x v="3"/>
    <s v="Shampoo"/>
    <s v="Shampoo Max"/>
    <n v="3"/>
    <n v="535"/>
    <n v="15"/>
    <n v="240.75"/>
    <n v="1364.25"/>
    <x v="2"/>
    <n v="3"/>
    <x v="0"/>
  </r>
  <r>
    <x v="267"/>
    <x v="267"/>
    <s v="CUST00109"/>
    <x v="0"/>
    <s v="Tamil Nadu"/>
    <x v="4"/>
    <s v="Snacks"/>
    <s v="Snacks Lite"/>
    <n v="1"/>
    <n v="573"/>
    <n v="10"/>
    <n v="57.3"/>
    <n v="515.70000000000005"/>
    <x v="4"/>
    <n v="3"/>
    <x v="0"/>
  </r>
  <r>
    <x v="268"/>
    <x v="268"/>
    <s v="CUST00056"/>
    <x v="0"/>
    <s v="Tamil Nadu"/>
    <x v="2"/>
    <s v="Mobile"/>
    <s v="Mobile Plus"/>
    <n v="1"/>
    <n v="8599"/>
    <n v="0"/>
    <n v="0"/>
    <n v="8599"/>
    <x v="4"/>
    <n v="3"/>
    <x v="0"/>
  </r>
  <r>
    <x v="269"/>
    <x v="269"/>
    <s v="CUST00216"/>
    <x v="2"/>
    <s v="Karnataka"/>
    <x v="4"/>
    <s v="Oil"/>
    <s v="Oil Classic"/>
    <n v="1"/>
    <n v="264"/>
    <n v="5"/>
    <n v="13.2"/>
    <n v="250.8"/>
    <x v="4"/>
    <n v="2"/>
    <x v="0"/>
  </r>
  <r>
    <x v="270"/>
    <x v="270"/>
    <s v="CUST00255"/>
    <x v="5"/>
    <s v="Delhi"/>
    <x v="4"/>
    <s v="Dal"/>
    <s v="Dal Max"/>
    <n v="2"/>
    <n v="654"/>
    <n v="0"/>
    <n v="0"/>
    <n v="1308"/>
    <x v="3"/>
    <n v="4"/>
    <x v="0"/>
  </r>
  <r>
    <x v="271"/>
    <x v="271"/>
    <s v="CUST00247"/>
    <x v="4"/>
    <s v="West Bengal"/>
    <x v="1"/>
    <s v="T-Shirt"/>
    <s v="T-Shirt Pro"/>
    <n v="1"/>
    <n v="4447"/>
    <n v="0"/>
    <n v="0"/>
    <n v="4447"/>
    <x v="2"/>
    <n v="5"/>
    <x v="0"/>
  </r>
  <r>
    <x v="272"/>
    <x v="272"/>
    <s v="CUST00152"/>
    <x v="8"/>
    <s v="Telangana"/>
    <x v="3"/>
    <s v="Face Wash"/>
    <s v="Face Wash Pro"/>
    <n v="2"/>
    <n v="1791"/>
    <n v="5"/>
    <n v="179.1"/>
    <n v="3402.9"/>
    <x v="2"/>
    <n v="2"/>
    <x v="0"/>
  </r>
  <r>
    <x v="273"/>
    <x v="273"/>
    <s v="CUST00005"/>
    <x v="9"/>
    <s v="Maharashtra"/>
    <x v="1"/>
    <s v="Shoes"/>
    <s v="Shoes Max"/>
    <n v="2"/>
    <n v="1161"/>
    <n v="0"/>
    <n v="0"/>
    <n v="2322"/>
    <x v="3"/>
    <n v="5"/>
    <x v="0"/>
  </r>
  <r>
    <x v="274"/>
    <x v="274"/>
    <s v="CUST00245"/>
    <x v="6"/>
    <s v="Maharashtra"/>
    <x v="1"/>
    <s v="T-Shirt"/>
    <s v="T-Shirt Lite"/>
    <n v="1"/>
    <n v="1705"/>
    <n v="5"/>
    <n v="85.25"/>
    <n v="1619.75"/>
    <x v="4"/>
    <n v="2"/>
    <x v="0"/>
  </r>
  <r>
    <x v="275"/>
    <x v="275"/>
    <s v="CUST00195"/>
    <x v="4"/>
    <s v="West Bengal"/>
    <x v="4"/>
    <s v="Rice"/>
    <s v="Rice Lite"/>
    <n v="1"/>
    <n v="952"/>
    <n v="0"/>
    <n v="0"/>
    <n v="952"/>
    <x v="0"/>
    <n v="2"/>
    <x v="0"/>
  </r>
  <r>
    <x v="276"/>
    <x v="276"/>
    <s v="CUST00269"/>
    <x v="3"/>
    <s v="Tamil Nadu"/>
    <x v="4"/>
    <s v="Dal"/>
    <s v="Dal Max"/>
    <n v="1"/>
    <n v="559"/>
    <n v="5"/>
    <n v="27.95"/>
    <n v="531.04999999999995"/>
    <x v="4"/>
    <n v="3"/>
    <x v="0"/>
  </r>
  <r>
    <x v="277"/>
    <x v="277"/>
    <s v="CUST00286"/>
    <x v="3"/>
    <s v="Tamil Nadu"/>
    <x v="2"/>
    <s v="Mobile"/>
    <s v="Mobile Lite"/>
    <n v="1"/>
    <n v="31255"/>
    <n v="10"/>
    <n v="3125.5"/>
    <n v="28129.5"/>
    <x v="0"/>
    <n v="2"/>
    <x v="0"/>
  </r>
  <r>
    <x v="278"/>
    <x v="278"/>
    <s v="CUST00115"/>
    <x v="1"/>
    <s v="Tamil Nadu"/>
    <x v="3"/>
    <s v="Perfume"/>
    <s v="Perfume Lite"/>
    <n v="1"/>
    <n v="1904"/>
    <n v="5"/>
    <n v="95.2"/>
    <n v="1808.8"/>
    <x v="0"/>
    <n v="2"/>
    <x v="0"/>
  </r>
  <r>
    <x v="279"/>
    <x v="279"/>
    <s v="CUST00010"/>
    <x v="2"/>
    <s v="Karnataka"/>
    <x v="3"/>
    <s v="Perfume"/>
    <s v="Perfume Pro"/>
    <n v="1"/>
    <n v="1387"/>
    <n v="10"/>
    <n v="138.69999999999999"/>
    <n v="1248.3"/>
    <x v="2"/>
    <n v="4"/>
    <x v="0"/>
  </r>
  <r>
    <x v="280"/>
    <x v="280"/>
    <s v="CUST00175"/>
    <x v="4"/>
    <s v="West Bengal"/>
    <x v="2"/>
    <s v="Laptop"/>
    <s v="Laptop Plus"/>
    <n v="1"/>
    <n v="39818"/>
    <n v="10"/>
    <n v="3981.8"/>
    <n v="35836.199999999997"/>
    <x v="0"/>
    <n v="3"/>
    <x v="0"/>
  </r>
  <r>
    <x v="281"/>
    <x v="281"/>
    <s v="CUST00002"/>
    <x v="4"/>
    <s v="West Bengal"/>
    <x v="0"/>
    <s v="Cooker"/>
    <s v="Cooker Classic"/>
    <n v="1"/>
    <n v="7647"/>
    <n v="0"/>
    <n v="0"/>
    <n v="7647"/>
    <x v="2"/>
    <n v="4"/>
    <x v="0"/>
  </r>
  <r>
    <x v="282"/>
    <x v="282"/>
    <s v="CUST00101"/>
    <x v="5"/>
    <s v="Delhi"/>
    <x v="2"/>
    <s v="Smart Watch"/>
    <s v="Smart Watch Lite"/>
    <n v="1"/>
    <n v="12989"/>
    <n v="0"/>
    <n v="0"/>
    <n v="12989"/>
    <x v="4"/>
    <n v="3"/>
    <x v="0"/>
  </r>
  <r>
    <x v="283"/>
    <x v="283"/>
    <s v="CUST00231"/>
    <x v="7"/>
    <s v="Tamil Nadu"/>
    <x v="4"/>
    <s v="Snacks"/>
    <s v="Snacks Lite"/>
    <n v="3"/>
    <n v="1183"/>
    <n v="15"/>
    <n v="532.35"/>
    <n v="3016.65"/>
    <x v="2"/>
    <n v="6"/>
    <x v="0"/>
  </r>
  <r>
    <x v="284"/>
    <x v="284"/>
    <s v="CUST00297"/>
    <x v="9"/>
    <s v="Maharashtra"/>
    <x v="1"/>
    <s v="T-Shirt"/>
    <s v="T-Shirt Plus"/>
    <n v="1"/>
    <n v="4529"/>
    <n v="20"/>
    <n v="905.8"/>
    <n v="3623.2"/>
    <x v="2"/>
    <n v="4"/>
    <x v="0"/>
  </r>
  <r>
    <x v="285"/>
    <x v="285"/>
    <s v="CUST00151"/>
    <x v="7"/>
    <s v="Tamil Nadu"/>
    <x v="1"/>
    <s v="Jeans"/>
    <s v="Jeans Plus"/>
    <n v="1"/>
    <n v="2848"/>
    <n v="15"/>
    <n v="427.2"/>
    <n v="2420.8000000000002"/>
    <x v="2"/>
    <n v="8"/>
    <x v="0"/>
  </r>
  <r>
    <x v="286"/>
    <x v="286"/>
    <s v="CUST00108"/>
    <x v="3"/>
    <s v="Tamil Nadu"/>
    <x v="0"/>
    <s v="Cooker"/>
    <s v="Cooker Lite"/>
    <n v="3"/>
    <n v="4744"/>
    <n v="5"/>
    <n v="711.6"/>
    <n v="13520.4"/>
    <x v="0"/>
    <n v="2"/>
    <x v="0"/>
  </r>
  <r>
    <x v="287"/>
    <x v="287"/>
    <s v="CUST00299"/>
    <x v="3"/>
    <s v="Tamil Nadu"/>
    <x v="3"/>
    <s v="Moisturizer"/>
    <s v="Moisturizer Max"/>
    <n v="2"/>
    <n v="368"/>
    <n v="5"/>
    <n v="36.799999999999997"/>
    <n v="699.2"/>
    <x v="0"/>
    <n v="1"/>
    <x v="0"/>
  </r>
  <r>
    <x v="288"/>
    <x v="288"/>
    <s v="CUST00083"/>
    <x v="8"/>
    <s v="Telangana"/>
    <x v="0"/>
    <s v="Mixer"/>
    <s v="Mixer Pro"/>
    <n v="1"/>
    <n v="6473"/>
    <n v="5"/>
    <n v="323.64999999999998"/>
    <n v="6149.35"/>
    <x v="3"/>
    <n v="3"/>
    <x v="0"/>
  </r>
  <r>
    <x v="289"/>
    <x v="289"/>
    <s v="CUST00288"/>
    <x v="5"/>
    <s v="Delhi"/>
    <x v="4"/>
    <s v="Spices"/>
    <s v="Spices Lite"/>
    <n v="1"/>
    <n v="843"/>
    <n v="5"/>
    <n v="42.15"/>
    <n v="800.85"/>
    <x v="2"/>
    <n v="4"/>
    <x v="0"/>
  </r>
  <r>
    <x v="290"/>
    <x v="290"/>
    <s v="CUST00007"/>
    <x v="8"/>
    <s v="Telangana"/>
    <x v="1"/>
    <s v="Handbag"/>
    <s v="Handbag Plus"/>
    <n v="2"/>
    <n v="4877"/>
    <n v="10"/>
    <n v="975.4"/>
    <n v="8778.6"/>
    <x v="1"/>
    <n v="2"/>
    <x v="0"/>
  </r>
  <r>
    <x v="291"/>
    <x v="291"/>
    <s v="CUST00039"/>
    <x v="9"/>
    <s v="Maharashtra"/>
    <x v="1"/>
    <s v="Handbag"/>
    <s v="Handbag Pro"/>
    <n v="1"/>
    <n v="2686"/>
    <n v="0"/>
    <n v="0"/>
    <n v="2686"/>
    <x v="2"/>
    <n v="2"/>
    <x v="0"/>
  </r>
  <r>
    <x v="292"/>
    <x v="292"/>
    <s v="CUST00021"/>
    <x v="9"/>
    <s v="Maharashtra"/>
    <x v="0"/>
    <s v="Dinner Set"/>
    <s v="Dinner Set Pro"/>
    <n v="2"/>
    <n v="6770"/>
    <n v="5"/>
    <n v="677"/>
    <n v="12863"/>
    <x v="2"/>
    <n v="3"/>
    <x v="0"/>
  </r>
  <r>
    <x v="293"/>
    <x v="293"/>
    <s v="CUST00267"/>
    <x v="2"/>
    <s v="Karnataka"/>
    <x v="4"/>
    <s v="Dal"/>
    <s v="Dal Plus"/>
    <n v="1"/>
    <n v="486"/>
    <n v="10"/>
    <n v="48.6"/>
    <n v="437.4"/>
    <x v="0"/>
    <n v="2"/>
    <x v="0"/>
  </r>
  <r>
    <x v="294"/>
    <x v="294"/>
    <s v="CUST00272"/>
    <x v="7"/>
    <s v="Tamil Nadu"/>
    <x v="4"/>
    <s v="Rice"/>
    <s v="Rice Pro"/>
    <n v="1"/>
    <n v="1306"/>
    <n v="15"/>
    <n v="195.9"/>
    <n v="1110.0999999999999"/>
    <x v="0"/>
    <n v="1"/>
    <x v="0"/>
  </r>
  <r>
    <x v="295"/>
    <x v="295"/>
    <s v="CUST00196"/>
    <x v="2"/>
    <s v="Karnataka"/>
    <x v="3"/>
    <s v="Lipstick"/>
    <s v="Lipstick Classic"/>
    <n v="2"/>
    <n v="1727"/>
    <n v="5"/>
    <n v="172.7"/>
    <n v="3281.3"/>
    <x v="3"/>
    <n v="2"/>
    <x v="0"/>
  </r>
  <r>
    <x v="296"/>
    <x v="296"/>
    <s v="CUST00099"/>
    <x v="4"/>
    <s v="West Bengal"/>
    <x v="4"/>
    <s v="Rice"/>
    <s v="Rice Pro"/>
    <n v="1"/>
    <n v="184"/>
    <n v="0"/>
    <n v="0"/>
    <n v="184"/>
    <x v="4"/>
    <n v="2"/>
    <x v="0"/>
  </r>
  <r>
    <x v="297"/>
    <x v="297"/>
    <s v="CUST00218"/>
    <x v="2"/>
    <s v="Karnataka"/>
    <x v="1"/>
    <s v="Handbag"/>
    <s v="Handbag Plus"/>
    <n v="1"/>
    <n v="1659"/>
    <n v="0"/>
    <n v="0"/>
    <n v="1659"/>
    <x v="0"/>
    <n v="2"/>
    <x v="0"/>
  </r>
  <r>
    <x v="298"/>
    <x v="298"/>
    <s v="CUST00295"/>
    <x v="5"/>
    <s v="Delhi"/>
    <x v="0"/>
    <s v="Curtains"/>
    <s v="Curtains Plus"/>
    <n v="1"/>
    <n v="2891"/>
    <n v="10"/>
    <n v="289.10000000000002"/>
    <n v="2601.9"/>
    <x v="3"/>
    <n v="3"/>
    <x v="0"/>
  </r>
  <r>
    <x v="299"/>
    <x v="299"/>
    <s v="CUST00033"/>
    <x v="3"/>
    <s v="Tamil Nadu"/>
    <x v="2"/>
    <s v="Mobile"/>
    <s v="Mobile Max"/>
    <n v="3"/>
    <n v="7455"/>
    <n v="10"/>
    <n v="2236.5"/>
    <n v="20128.5"/>
    <x v="0"/>
    <n v="4"/>
    <x v="0"/>
  </r>
  <r>
    <x v="300"/>
    <x v="300"/>
    <s v="CUST00203"/>
    <x v="0"/>
    <s v="Tamil Nadu"/>
    <x v="3"/>
    <s v="Shampoo"/>
    <s v="Shampoo Classic"/>
    <n v="1"/>
    <n v="1448"/>
    <n v="0"/>
    <n v="0"/>
    <n v="1448"/>
    <x v="2"/>
    <n v="6"/>
    <x v="0"/>
  </r>
  <r>
    <x v="301"/>
    <x v="301"/>
    <s v="CUST00192"/>
    <x v="0"/>
    <s v="Tamil Nadu"/>
    <x v="4"/>
    <s v="Snacks"/>
    <s v="Snacks Lite"/>
    <n v="1"/>
    <n v="224"/>
    <n v="5"/>
    <n v="11.2"/>
    <n v="212.8"/>
    <x v="2"/>
    <n v="5"/>
    <x v="0"/>
  </r>
  <r>
    <x v="302"/>
    <x v="302"/>
    <s v="CUST00263"/>
    <x v="9"/>
    <s v="Maharashtra"/>
    <x v="1"/>
    <s v="Jeans"/>
    <s v="Jeans Lite"/>
    <n v="1"/>
    <n v="1991"/>
    <n v="10"/>
    <n v="199.1"/>
    <n v="1791.9"/>
    <x v="2"/>
    <n v="5"/>
    <x v="0"/>
  </r>
  <r>
    <x v="303"/>
    <x v="303"/>
    <s v="CUST00237"/>
    <x v="1"/>
    <s v="Tamil Nadu"/>
    <x v="2"/>
    <s v="Headphones"/>
    <s v="Headphones Pro"/>
    <n v="1"/>
    <n v="13437"/>
    <n v="10"/>
    <n v="1343.7"/>
    <n v="12093.3"/>
    <x v="0"/>
    <n v="2"/>
    <x v="0"/>
  </r>
  <r>
    <x v="304"/>
    <x v="304"/>
    <s v="CUST00100"/>
    <x v="4"/>
    <s v="West Bengal"/>
    <x v="3"/>
    <s v="Perfume"/>
    <s v="Perfume Max"/>
    <n v="1"/>
    <n v="1310"/>
    <n v="15"/>
    <n v="196.5"/>
    <n v="1113.5"/>
    <x v="1"/>
    <n v="2"/>
    <x v="0"/>
  </r>
  <r>
    <x v="305"/>
    <x v="305"/>
    <s v="CUST00127"/>
    <x v="5"/>
    <s v="Delhi"/>
    <x v="3"/>
    <s v="Lipstick"/>
    <s v="Lipstick Max"/>
    <n v="1"/>
    <n v="1062"/>
    <n v="10"/>
    <n v="106.2"/>
    <n v="955.8"/>
    <x v="3"/>
    <n v="1"/>
    <x v="0"/>
  </r>
  <r>
    <x v="306"/>
    <x v="306"/>
    <s v="CUST00042"/>
    <x v="8"/>
    <s v="Telangana"/>
    <x v="1"/>
    <s v="Handbag"/>
    <s v="Handbag Lite"/>
    <n v="1"/>
    <n v="1017"/>
    <n v="10"/>
    <n v="101.7"/>
    <n v="915.3"/>
    <x v="2"/>
    <n v="4"/>
    <x v="0"/>
  </r>
  <r>
    <x v="307"/>
    <x v="307"/>
    <s v="Unknown"/>
    <x v="1"/>
    <s v="Tamil Nadu"/>
    <x v="0"/>
    <s v="Dinner Set"/>
    <s v="Dinner Set Classic"/>
    <n v="1"/>
    <n v="3515"/>
    <n v="10"/>
    <n v="351.5"/>
    <n v="3163.5"/>
    <x v="0"/>
    <n v="2"/>
    <x v="0"/>
  </r>
  <r>
    <x v="308"/>
    <x v="308"/>
    <s v="CUST00047"/>
    <x v="6"/>
    <s v="Maharashtra"/>
    <x v="0"/>
    <s v="Dinner Set"/>
    <s v="Dinner Set Pro"/>
    <n v="1"/>
    <n v="1449"/>
    <n v="0"/>
    <n v="0"/>
    <n v="1449"/>
    <x v="2"/>
    <n v="4"/>
    <x v="0"/>
  </r>
  <r>
    <x v="309"/>
    <x v="309"/>
    <s v="CUST00184"/>
    <x v="0"/>
    <s v="Tamil Nadu"/>
    <x v="1"/>
    <s v="Watch"/>
    <s v="Watch Lite"/>
    <n v="1"/>
    <n v="2317"/>
    <n v="5"/>
    <n v="115.85"/>
    <n v="2201.15"/>
    <x v="2"/>
    <n v="3"/>
    <x v="0"/>
  </r>
  <r>
    <x v="310"/>
    <x v="310"/>
    <s v="CUST00021"/>
    <x v="4"/>
    <s v="West Bengal"/>
    <x v="2"/>
    <s v="Power Bank"/>
    <s v="Power Bank Max"/>
    <n v="2"/>
    <n v="17756"/>
    <n v="10"/>
    <n v="3551.2"/>
    <n v="31960.799999999999"/>
    <x v="3"/>
    <n v="3"/>
    <x v="0"/>
  </r>
  <r>
    <x v="311"/>
    <x v="311"/>
    <s v="CUST00265"/>
    <x v="8"/>
    <s v="Telangana"/>
    <x v="3"/>
    <s v="Shampoo"/>
    <s v="Shampoo Classic"/>
    <n v="1"/>
    <n v="1137"/>
    <n v="0"/>
    <n v="0"/>
    <n v="1137"/>
    <x v="2"/>
    <n v="3"/>
    <x v="0"/>
  </r>
  <r>
    <x v="312"/>
    <x v="312"/>
    <s v="CUST00144"/>
    <x v="5"/>
    <s v="Delhi"/>
    <x v="1"/>
    <s v="Jeans"/>
    <s v="Jeans Lite"/>
    <n v="1"/>
    <n v="2286"/>
    <n v="10"/>
    <n v="228.6"/>
    <n v="2057.4"/>
    <x v="3"/>
    <n v="2"/>
    <x v="0"/>
  </r>
  <r>
    <x v="313"/>
    <x v="313"/>
    <s v="CUST00083"/>
    <x v="6"/>
    <s v="Maharashtra"/>
    <x v="2"/>
    <s v="Laptop"/>
    <s v="Laptop Pro"/>
    <n v="1"/>
    <n v="39320"/>
    <n v="0"/>
    <n v="0"/>
    <n v="39320"/>
    <x v="4"/>
    <n v="1"/>
    <x v="0"/>
  </r>
  <r>
    <x v="314"/>
    <x v="314"/>
    <s v="CUST00265"/>
    <x v="6"/>
    <s v="Maharashtra"/>
    <x v="4"/>
    <s v="Snacks"/>
    <s v="Snacks Pro"/>
    <n v="2"/>
    <n v="1292"/>
    <n v="20"/>
    <n v="516.79999999999995"/>
    <n v="2067.1999999999998"/>
    <x v="2"/>
    <n v="2"/>
    <x v="0"/>
  </r>
  <r>
    <x v="315"/>
    <x v="315"/>
    <s v="CUST00074"/>
    <x v="3"/>
    <s v="Tamil Nadu"/>
    <x v="1"/>
    <s v="Handbag"/>
    <s v="Handbag Classic"/>
    <n v="1"/>
    <n v="4114"/>
    <n v="0"/>
    <n v="0"/>
    <n v="4114"/>
    <x v="3"/>
    <n v="1"/>
    <x v="0"/>
  </r>
  <r>
    <x v="316"/>
    <x v="316"/>
    <s v="CUST00268"/>
    <x v="1"/>
    <s v="Tamil Nadu"/>
    <x v="3"/>
    <s v="Shampoo"/>
    <s v="Shampoo Classic"/>
    <n v="1"/>
    <n v="1755"/>
    <n v="5"/>
    <n v="87.75"/>
    <n v="1667.25"/>
    <x v="0"/>
    <n v="2"/>
    <x v="0"/>
  </r>
  <r>
    <x v="317"/>
    <x v="317"/>
    <s v="CUST00277"/>
    <x v="0"/>
    <s v="Tamil Nadu"/>
    <x v="3"/>
    <s v="Moisturizer"/>
    <s v="Moisturizer Plus"/>
    <n v="1"/>
    <n v="619"/>
    <n v="10"/>
    <n v="61.9"/>
    <n v="557.1"/>
    <x v="3"/>
    <n v="3"/>
    <x v="0"/>
  </r>
  <r>
    <x v="318"/>
    <x v="318"/>
    <s v="CUST00295"/>
    <x v="2"/>
    <s v="Karnataka"/>
    <x v="3"/>
    <s v="Shampoo"/>
    <s v="Shampoo Max"/>
    <n v="1"/>
    <n v="1375"/>
    <n v="5"/>
    <n v="68.75"/>
    <n v="1306.25"/>
    <x v="0"/>
    <n v="3"/>
    <x v="0"/>
  </r>
  <r>
    <x v="319"/>
    <x v="319"/>
    <s v="CUST00296"/>
    <x v="1"/>
    <s v="Tamil Nadu"/>
    <x v="2"/>
    <s v="Power Bank"/>
    <s v="Power Bank Pro"/>
    <n v="1"/>
    <n v="13962"/>
    <n v="0"/>
    <n v="0"/>
    <n v="13962"/>
    <x v="4"/>
    <n v="2"/>
    <x v="0"/>
  </r>
  <r>
    <x v="320"/>
    <x v="320"/>
    <s v="CUST00217"/>
    <x v="3"/>
    <s v="Tamil Nadu"/>
    <x v="0"/>
    <s v="Dinner Set"/>
    <s v="Dinner Set Max"/>
    <n v="3"/>
    <n v="3685"/>
    <n v="5"/>
    <n v="552.75"/>
    <n v="10502.25"/>
    <x v="3"/>
    <n v="3"/>
    <x v="0"/>
  </r>
  <r>
    <x v="321"/>
    <x v="321"/>
    <s v="CUST00296"/>
    <x v="4"/>
    <s v="West Bengal"/>
    <x v="3"/>
    <s v="Shampoo"/>
    <s v="Shampoo Pro"/>
    <n v="2"/>
    <n v="589"/>
    <n v="5"/>
    <n v="58.9"/>
    <n v="1119.0999999999999"/>
    <x v="0"/>
    <n v="3"/>
    <x v="0"/>
  </r>
  <r>
    <x v="322"/>
    <x v="322"/>
    <s v="CUST00027"/>
    <x v="9"/>
    <s v="Maharashtra"/>
    <x v="3"/>
    <s v="Face Wash"/>
    <s v="Face Wash Pro"/>
    <n v="2"/>
    <n v="281"/>
    <n v="0"/>
    <n v="0"/>
    <n v="562"/>
    <x v="0"/>
    <n v="1"/>
    <x v="0"/>
  </r>
  <r>
    <x v="323"/>
    <x v="323"/>
    <s v="CUST00206"/>
    <x v="3"/>
    <s v="Tamil Nadu"/>
    <x v="4"/>
    <s v="Oil"/>
    <s v="Oil Classic"/>
    <n v="1"/>
    <n v="463"/>
    <n v="15"/>
    <n v="69.45"/>
    <n v="393.55"/>
    <x v="2"/>
    <n v="6"/>
    <x v="1"/>
  </r>
  <r>
    <x v="324"/>
    <x v="324"/>
    <s v="CUST00262"/>
    <x v="1"/>
    <s v="Tamil Nadu"/>
    <x v="1"/>
    <s v="Handbag"/>
    <s v="Handbag Lite"/>
    <n v="1"/>
    <n v="2359"/>
    <n v="0"/>
    <n v="0"/>
    <n v="2359"/>
    <x v="0"/>
    <n v="2"/>
    <x v="0"/>
  </r>
  <r>
    <x v="325"/>
    <x v="325"/>
    <s v="CUST00203"/>
    <x v="6"/>
    <s v="Maharashtra"/>
    <x v="4"/>
    <s v="Dal"/>
    <s v="Dal Classic"/>
    <n v="1"/>
    <n v="1195"/>
    <n v="15"/>
    <n v="179.25"/>
    <n v="1015.75"/>
    <x v="0"/>
    <n v="5"/>
    <x v="0"/>
  </r>
  <r>
    <x v="326"/>
    <x v="326"/>
    <s v="CUST00100"/>
    <x v="7"/>
    <s v="Tamil Nadu"/>
    <x v="3"/>
    <s v="Moisturizer"/>
    <s v="Moisturizer Pro"/>
    <n v="1"/>
    <n v="1294"/>
    <n v="5"/>
    <n v="64.7"/>
    <n v="1229.3"/>
    <x v="0"/>
    <n v="1"/>
    <x v="0"/>
  </r>
  <r>
    <x v="327"/>
    <x v="327"/>
    <s v="CUST00132"/>
    <x v="1"/>
    <s v="Tamil Nadu"/>
    <x v="4"/>
    <s v="Oil"/>
    <s v="Oil Plus"/>
    <n v="3"/>
    <n v="745"/>
    <n v="20"/>
    <n v="447"/>
    <n v="1788"/>
    <x v="3"/>
    <n v="2"/>
    <x v="0"/>
  </r>
  <r>
    <x v="328"/>
    <x v="328"/>
    <s v="CUST00015"/>
    <x v="7"/>
    <s v="Tamil Nadu"/>
    <x v="2"/>
    <s v="Headphones"/>
    <s v="Headphones Pro"/>
    <n v="1"/>
    <n v="14942"/>
    <n v="20"/>
    <n v="2988.4"/>
    <n v="11953.6"/>
    <x v="3"/>
    <n v="1"/>
    <x v="0"/>
  </r>
  <r>
    <x v="329"/>
    <x v="329"/>
    <s v="CUST00048"/>
    <x v="6"/>
    <s v="Maharashtra"/>
    <x v="0"/>
    <s v="Bedsheet"/>
    <s v="Bedsheet Classic"/>
    <n v="3"/>
    <n v="3196"/>
    <n v="0"/>
    <n v="0"/>
    <n v="9588"/>
    <x v="2"/>
    <n v="4"/>
    <x v="0"/>
  </r>
  <r>
    <x v="330"/>
    <x v="330"/>
    <s v="CUST00103"/>
    <x v="5"/>
    <s v="Delhi"/>
    <x v="1"/>
    <s v="Shoes"/>
    <s v="Shoes Lite"/>
    <n v="1"/>
    <n v="3316"/>
    <n v="0"/>
    <n v="0"/>
    <n v="3316"/>
    <x v="0"/>
    <n v="5"/>
    <x v="0"/>
  </r>
  <r>
    <x v="331"/>
    <x v="331"/>
    <s v="CUST00004"/>
    <x v="1"/>
    <s v="Tamil Nadu"/>
    <x v="2"/>
    <s v="Smart Watch"/>
    <s v="Smart Watch Max"/>
    <n v="1"/>
    <n v="32766"/>
    <n v="0"/>
    <n v="0"/>
    <n v="32766"/>
    <x v="0"/>
    <n v="3"/>
    <x v="0"/>
  </r>
  <r>
    <x v="332"/>
    <x v="332"/>
    <s v="CUST00270"/>
    <x v="6"/>
    <s v="Maharashtra"/>
    <x v="3"/>
    <s v="Moisturizer"/>
    <s v="Moisturizer Pro"/>
    <n v="1"/>
    <n v="396"/>
    <n v="5"/>
    <n v="19.8"/>
    <n v="376.2"/>
    <x v="0"/>
    <n v="1"/>
    <x v="0"/>
  </r>
  <r>
    <x v="333"/>
    <x v="333"/>
    <s v="CUST00108"/>
    <x v="6"/>
    <s v="Maharashtra"/>
    <x v="4"/>
    <s v="Rice"/>
    <s v="Rice Max"/>
    <n v="1"/>
    <n v="535"/>
    <n v="0"/>
    <n v="0"/>
    <n v="535"/>
    <x v="1"/>
    <n v="2"/>
    <x v="0"/>
  </r>
  <r>
    <x v="334"/>
    <x v="334"/>
    <s v="CUST00256"/>
    <x v="6"/>
    <s v="Maharashtra"/>
    <x v="1"/>
    <s v="Watch"/>
    <s v="Watch Max"/>
    <n v="1"/>
    <n v="2690"/>
    <n v="0"/>
    <n v="0"/>
    <n v="2690"/>
    <x v="4"/>
    <n v="2"/>
    <x v="0"/>
  </r>
  <r>
    <x v="335"/>
    <x v="335"/>
    <s v="CUST00139"/>
    <x v="5"/>
    <s v="Delhi"/>
    <x v="4"/>
    <s v="Spices"/>
    <s v="Spices Plus"/>
    <n v="1"/>
    <n v="411"/>
    <n v="5"/>
    <n v="20.55"/>
    <n v="390.45"/>
    <x v="0"/>
    <n v="4"/>
    <x v="0"/>
  </r>
  <r>
    <x v="336"/>
    <x v="336"/>
    <s v="CUST00265"/>
    <x v="1"/>
    <s v="Tamil Nadu"/>
    <x v="0"/>
    <s v="Curtains"/>
    <s v="Curtains Max"/>
    <n v="1"/>
    <n v="3563"/>
    <n v="0"/>
    <n v="0"/>
    <n v="3563"/>
    <x v="0"/>
    <n v="2"/>
    <x v="0"/>
  </r>
  <r>
    <x v="337"/>
    <x v="337"/>
    <s v="CUST00050"/>
    <x v="7"/>
    <s v="Tamil Nadu"/>
    <x v="0"/>
    <s v="Cooker"/>
    <s v="Cooker Max"/>
    <n v="1"/>
    <n v="3119"/>
    <n v="0"/>
    <n v="0"/>
    <n v="3119"/>
    <x v="2"/>
    <n v="8"/>
    <x v="1"/>
  </r>
  <r>
    <x v="338"/>
    <x v="338"/>
    <s v="CUST00276"/>
    <x v="9"/>
    <s v="Maharashtra"/>
    <x v="0"/>
    <s v="Cooker"/>
    <s v="Cooker Max"/>
    <n v="1"/>
    <n v="7587"/>
    <n v="10"/>
    <n v="758.7"/>
    <n v="6828.3"/>
    <x v="3"/>
    <n v="5"/>
    <x v="0"/>
  </r>
  <r>
    <x v="339"/>
    <x v="339"/>
    <s v="CUST00173"/>
    <x v="6"/>
    <s v="Maharashtra"/>
    <x v="4"/>
    <s v="Snacks"/>
    <s v="Snacks Plus"/>
    <n v="2"/>
    <n v="517"/>
    <n v="5"/>
    <n v="51.7"/>
    <n v="982.3"/>
    <x v="4"/>
    <n v="3"/>
    <x v="0"/>
  </r>
  <r>
    <x v="340"/>
    <x v="340"/>
    <s v="CUST00203"/>
    <x v="8"/>
    <s v="Telangana"/>
    <x v="3"/>
    <s v="Lipstick"/>
    <s v="Lipstick Classic"/>
    <n v="1"/>
    <n v="526"/>
    <n v="0"/>
    <n v="0"/>
    <n v="526"/>
    <x v="0"/>
    <n v="2"/>
    <x v="0"/>
  </r>
  <r>
    <x v="341"/>
    <x v="341"/>
    <s v="CUST00041"/>
    <x v="5"/>
    <s v="Delhi"/>
    <x v="1"/>
    <s v="Watch"/>
    <s v="Watch Pro"/>
    <n v="1"/>
    <n v="4892"/>
    <n v="5"/>
    <n v="244.6"/>
    <n v="4647.3999999999996"/>
    <x v="1"/>
    <n v="1"/>
    <x v="0"/>
  </r>
  <r>
    <x v="342"/>
    <x v="342"/>
    <s v="CUST00080"/>
    <x v="2"/>
    <s v="Karnataka"/>
    <x v="3"/>
    <s v="Lipstick"/>
    <s v="Lipstick Lite"/>
    <n v="1"/>
    <n v="408"/>
    <n v="5"/>
    <n v="20.399999999999999"/>
    <n v="387.6"/>
    <x v="0"/>
    <n v="1"/>
    <x v="0"/>
  </r>
  <r>
    <x v="343"/>
    <x v="343"/>
    <s v="CUST00167"/>
    <x v="7"/>
    <s v="Tamil Nadu"/>
    <x v="3"/>
    <s v="Moisturizer"/>
    <s v="Moisturizer Max"/>
    <n v="1"/>
    <n v="1360"/>
    <n v="5"/>
    <n v="68"/>
    <n v="1292"/>
    <x v="2"/>
    <n v="8"/>
    <x v="0"/>
  </r>
  <r>
    <x v="344"/>
    <x v="344"/>
    <s v="CUST00274"/>
    <x v="8"/>
    <s v="Telangana"/>
    <x v="0"/>
    <s v="Curtains"/>
    <s v="Curtains Classic"/>
    <n v="1"/>
    <n v="2822"/>
    <n v="0"/>
    <n v="0"/>
    <n v="2822"/>
    <x v="0"/>
    <n v="1"/>
    <x v="0"/>
  </r>
  <r>
    <x v="345"/>
    <x v="345"/>
    <s v="CUST00177"/>
    <x v="8"/>
    <s v="Telangana"/>
    <x v="3"/>
    <s v="Moisturizer"/>
    <s v="Moisturizer Pro"/>
    <n v="1"/>
    <n v="168"/>
    <n v="10"/>
    <n v="16.8"/>
    <n v="151.19999999999999"/>
    <x v="4"/>
    <n v="3"/>
    <x v="0"/>
  </r>
  <r>
    <x v="346"/>
    <x v="346"/>
    <s v="CUST00192"/>
    <x v="5"/>
    <s v="Delhi"/>
    <x v="3"/>
    <s v="Moisturizer"/>
    <s v="Moisturizer Plus"/>
    <n v="1"/>
    <n v="924"/>
    <n v="0"/>
    <n v="0"/>
    <n v="924"/>
    <x v="3"/>
    <n v="2"/>
    <x v="0"/>
  </r>
  <r>
    <x v="347"/>
    <x v="347"/>
    <s v="Unknown"/>
    <x v="8"/>
    <s v="Telangana"/>
    <x v="4"/>
    <s v="Oil"/>
    <s v="Oil Plus"/>
    <n v="1"/>
    <n v="276"/>
    <n v="10"/>
    <n v="27.6"/>
    <n v="248.4"/>
    <x v="4"/>
    <n v="2"/>
    <x v="0"/>
  </r>
  <r>
    <x v="348"/>
    <x v="348"/>
    <s v="CUST00252"/>
    <x v="5"/>
    <s v="Delhi"/>
    <x v="0"/>
    <s v="Bedsheet"/>
    <s v="Bedsheet Lite"/>
    <n v="1"/>
    <n v="1823"/>
    <n v="0"/>
    <n v="0"/>
    <n v="1823"/>
    <x v="2"/>
    <n v="4"/>
    <x v="0"/>
  </r>
  <r>
    <x v="349"/>
    <x v="349"/>
    <s v="CUST00008"/>
    <x v="7"/>
    <s v="Tamil Nadu"/>
    <x v="1"/>
    <s v="Shoes"/>
    <s v="Shoes Plus"/>
    <n v="1"/>
    <n v="3442"/>
    <n v="5"/>
    <n v="172.1"/>
    <n v="3269.9"/>
    <x v="2"/>
    <n v="8"/>
    <x v="1"/>
  </r>
  <r>
    <x v="350"/>
    <x v="350"/>
    <s v="CUST00037"/>
    <x v="1"/>
    <s v="Tamil Nadu"/>
    <x v="3"/>
    <s v="Shampoo"/>
    <s v="Shampoo Lite"/>
    <n v="2"/>
    <n v="175"/>
    <n v="20"/>
    <n v="70"/>
    <n v="280"/>
    <x v="2"/>
    <n v="5"/>
    <x v="0"/>
  </r>
  <r>
    <x v="351"/>
    <x v="351"/>
    <s v="CUST00018"/>
    <x v="5"/>
    <s v="Delhi"/>
    <x v="3"/>
    <s v="Face Wash"/>
    <s v="Face Wash Classic"/>
    <n v="1"/>
    <n v="1545"/>
    <n v="15"/>
    <n v="231.75"/>
    <n v="1313.25"/>
    <x v="0"/>
    <n v="3"/>
    <x v="0"/>
  </r>
  <r>
    <x v="352"/>
    <x v="352"/>
    <s v="CUST00267"/>
    <x v="2"/>
    <s v="Karnataka"/>
    <x v="0"/>
    <s v="Curtains"/>
    <s v="Curtains Max"/>
    <n v="1"/>
    <n v="1225"/>
    <n v="5"/>
    <n v="61.25"/>
    <n v="1163.75"/>
    <x v="0"/>
    <n v="3"/>
    <x v="0"/>
  </r>
  <r>
    <x v="353"/>
    <x v="353"/>
    <s v="CUST00062"/>
    <x v="6"/>
    <s v="Maharashtra"/>
    <x v="1"/>
    <s v="T-Shirt"/>
    <s v="T-Shirt Pro"/>
    <n v="1"/>
    <n v="1669"/>
    <n v="0"/>
    <n v="0"/>
    <n v="1669"/>
    <x v="3"/>
    <n v="3"/>
    <x v="0"/>
  </r>
  <r>
    <x v="354"/>
    <x v="354"/>
    <s v="CUST00031"/>
    <x v="0"/>
    <s v="Tamil Nadu"/>
    <x v="0"/>
    <s v="Mixer"/>
    <s v="Mixer Classic"/>
    <n v="2"/>
    <n v="2206"/>
    <n v="10"/>
    <n v="441.2"/>
    <n v="3970.8"/>
    <x v="2"/>
    <n v="5"/>
    <x v="0"/>
  </r>
  <r>
    <x v="355"/>
    <x v="355"/>
    <s v="CUST00011"/>
    <x v="6"/>
    <s v="Maharashtra"/>
    <x v="0"/>
    <s v="Mixer"/>
    <s v="Mixer Max"/>
    <n v="2"/>
    <n v="4879"/>
    <n v="10"/>
    <n v="975.8"/>
    <n v="8782.2000000000007"/>
    <x v="0"/>
    <n v="2"/>
    <x v="0"/>
  </r>
  <r>
    <x v="356"/>
    <x v="356"/>
    <s v="CUST00166"/>
    <x v="7"/>
    <s v="Tamil Nadu"/>
    <x v="0"/>
    <s v="Dinner Set"/>
    <s v="Dinner Set Classic"/>
    <n v="1"/>
    <n v="3981"/>
    <n v="5"/>
    <n v="199.05"/>
    <n v="3781.95"/>
    <x v="3"/>
    <n v="3"/>
    <x v="0"/>
  </r>
  <r>
    <x v="357"/>
    <x v="357"/>
    <s v="CUST00195"/>
    <x v="9"/>
    <s v="Maharashtra"/>
    <x v="2"/>
    <s v="Power Bank"/>
    <s v="Power Bank Max"/>
    <n v="2"/>
    <n v="16149"/>
    <n v="20"/>
    <n v="6459.6"/>
    <n v="25838.400000000001"/>
    <x v="2"/>
    <n v="2"/>
    <x v="0"/>
  </r>
  <r>
    <x v="358"/>
    <x v="358"/>
    <s v="CUST00079"/>
    <x v="3"/>
    <s v="Tamil Nadu"/>
    <x v="0"/>
    <s v="Cooker"/>
    <s v="Cooker Plus"/>
    <n v="1"/>
    <n v="4586"/>
    <n v="0"/>
    <n v="0"/>
    <n v="4586"/>
    <x v="2"/>
    <n v="4"/>
    <x v="1"/>
  </r>
  <r>
    <x v="359"/>
    <x v="359"/>
    <s v="CUST00249"/>
    <x v="5"/>
    <s v="Delhi"/>
    <x v="2"/>
    <s v="Mobile"/>
    <s v="Mobile Classic"/>
    <n v="1"/>
    <n v="25967"/>
    <n v="5"/>
    <n v="1298.3499999999999"/>
    <n v="24668.65"/>
    <x v="0"/>
    <n v="2"/>
    <x v="0"/>
  </r>
  <r>
    <x v="360"/>
    <x v="360"/>
    <s v="CUST00007"/>
    <x v="5"/>
    <s v="Delhi"/>
    <x v="3"/>
    <s v="Face Wash"/>
    <s v="Face Wash Plus"/>
    <n v="2"/>
    <n v="1672"/>
    <n v="15"/>
    <n v="501.6"/>
    <n v="2842.4"/>
    <x v="2"/>
    <n v="2"/>
    <x v="0"/>
  </r>
  <r>
    <x v="361"/>
    <x v="361"/>
    <s v="CUST00021"/>
    <x v="2"/>
    <s v="Karnataka"/>
    <x v="0"/>
    <s v="Bedsheet"/>
    <s v="Bedsheet Lite"/>
    <n v="3"/>
    <n v="6240"/>
    <n v="5"/>
    <n v="936"/>
    <n v="17784"/>
    <x v="0"/>
    <n v="3"/>
    <x v="0"/>
  </r>
  <r>
    <x v="362"/>
    <x v="362"/>
    <s v="CUST00092"/>
    <x v="1"/>
    <s v="Tamil Nadu"/>
    <x v="4"/>
    <s v="Spices"/>
    <s v="Spices Pro"/>
    <n v="2"/>
    <n v="1488"/>
    <n v="10"/>
    <n v="297.60000000000002"/>
    <n v="2678.4"/>
    <x v="2"/>
    <n v="4"/>
    <x v="1"/>
  </r>
  <r>
    <x v="363"/>
    <x v="363"/>
    <s v="CUST00259"/>
    <x v="4"/>
    <s v="West Bengal"/>
    <x v="1"/>
    <s v="Handbag"/>
    <s v="Handbag Classic"/>
    <n v="1"/>
    <n v="2981"/>
    <n v="5"/>
    <n v="149.05000000000001"/>
    <n v="2831.95"/>
    <x v="4"/>
    <n v="4"/>
    <x v="0"/>
  </r>
  <r>
    <x v="364"/>
    <x v="364"/>
    <s v="CUST00124"/>
    <x v="3"/>
    <s v="Tamil Nadu"/>
    <x v="4"/>
    <s v="Dal"/>
    <s v="Dal Plus"/>
    <n v="2"/>
    <n v="863"/>
    <n v="0"/>
    <n v="0"/>
    <n v="1726"/>
    <x v="0"/>
    <n v="2"/>
    <x v="0"/>
  </r>
  <r>
    <x v="365"/>
    <x v="365"/>
    <s v="CUST00266"/>
    <x v="9"/>
    <s v="Maharashtra"/>
    <x v="0"/>
    <s v="Bedsheet"/>
    <s v="Bedsheet Max"/>
    <n v="3"/>
    <n v="477"/>
    <n v="15"/>
    <n v="214.65"/>
    <n v="1216.3499999999999"/>
    <x v="2"/>
    <n v="4"/>
    <x v="0"/>
  </r>
  <r>
    <x v="366"/>
    <x v="366"/>
    <s v="CUST00080"/>
    <x v="2"/>
    <s v="Karnataka"/>
    <x v="2"/>
    <s v="Smart Watch"/>
    <s v="Smart Watch Max"/>
    <n v="1"/>
    <n v="17866"/>
    <n v="0"/>
    <n v="0"/>
    <n v="17866"/>
    <x v="2"/>
    <n v="2"/>
    <x v="0"/>
  </r>
  <r>
    <x v="367"/>
    <x v="367"/>
    <s v="CUST00040"/>
    <x v="4"/>
    <s v="West Bengal"/>
    <x v="3"/>
    <s v="Shampoo"/>
    <s v="Shampoo Plus"/>
    <n v="2"/>
    <n v="1465"/>
    <n v="0"/>
    <n v="0"/>
    <n v="2930"/>
    <x v="2"/>
    <n v="3"/>
    <x v="0"/>
  </r>
  <r>
    <x v="368"/>
    <x v="368"/>
    <s v="CUST00179"/>
    <x v="6"/>
    <s v="Maharashtra"/>
    <x v="3"/>
    <s v="Face Wash"/>
    <s v="Face Wash Lite"/>
    <n v="2"/>
    <n v="1742"/>
    <n v="5"/>
    <n v="174.2"/>
    <n v="3309.8"/>
    <x v="0"/>
    <n v="1"/>
    <x v="0"/>
  </r>
  <r>
    <x v="369"/>
    <x v="369"/>
    <s v="CUST00290"/>
    <x v="9"/>
    <s v="Maharashtra"/>
    <x v="0"/>
    <s v="Dinner Set"/>
    <s v="Dinner Set Lite"/>
    <n v="1"/>
    <n v="6467"/>
    <n v="5"/>
    <n v="323.35000000000002"/>
    <n v="6143.65"/>
    <x v="0"/>
    <n v="2"/>
    <x v="0"/>
  </r>
  <r>
    <x v="370"/>
    <x v="370"/>
    <s v="CUST00076"/>
    <x v="9"/>
    <s v="Maharashtra"/>
    <x v="0"/>
    <s v="Bedsheet"/>
    <s v="Bedsheet Plus"/>
    <n v="1"/>
    <n v="3570"/>
    <n v="5"/>
    <n v="178.5"/>
    <n v="3391.5"/>
    <x v="3"/>
    <n v="3"/>
    <x v="0"/>
  </r>
  <r>
    <x v="371"/>
    <x v="371"/>
    <s v="CUST00247"/>
    <x v="1"/>
    <s v="Tamil Nadu"/>
    <x v="1"/>
    <s v="Watch"/>
    <s v="Watch Plus"/>
    <n v="1"/>
    <n v="4997"/>
    <n v="0"/>
    <n v="0"/>
    <n v="4997"/>
    <x v="0"/>
    <n v="3"/>
    <x v="0"/>
  </r>
  <r>
    <x v="372"/>
    <x v="372"/>
    <s v="CUST00295"/>
    <x v="2"/>
    <s v="Karnataka"/>
    <x v="2"/>
    <s v="Smart Watch"/>
    <s v="Smart Watch Plus"/>
    <n v="1"/>
    <n v="12983"/>
    <n v="0"/>
    <n v="0"/>
    <n v="12983"/>
    <x v="0"/>
    <n v="5"/>
    <x v="0"/>
  </r>
  <r>
    <x v="373"/>
    <x v="373"/>
    <s v="CUST00227"/>
    <x v="3"/>
    <s v="Tamil Nadu"/>
    <x v="1"/>
    <s v="Watch"/>
    <s v="Watch Pro"/>
    <n v="3"/>
    <n v="2035"/>
    <n v="10"/>
    <n v="610.5"/>
    <n v="5494.5"/>
    <x v="2"/>
    <n v="4"/>
    <x v="1"/>
  </r>
  <r>
    <x v="374"/>
    <x v="374"/>
    <s v="CUST00076"/>
    <x v="8"/>
    <s v="Telangana"/>
    <x v="2"/>
    <s v="Headphones"/>
    <s v="Headphones Pro"/>
    <n v="1"/>
    <n v="31379"/>
    <n v="0"/>
    <n v="0"/>
    <n v="31379"/>
    <x v="3"/>
    <n v="3"/>
    <x v="0"/>
  </r>
  <r>
    <x v="375"/>
    <x v="375"/>
    <s v="CUST00248"/>
    <x v="3"/>
    <s v="Tamil Nadu"/>
    <x v="1"/>
    <s v="T-Shirt"/>
    <s v="T-Shirt Plus"/>
    <n v="1"/>
    <n v="756"/>
    <n v="0"/>
    <n v="0"/>
    <n v="756"/>
    <x v="2"/>
    <n v="7"/>
    <x v="1"/>
  </r>
  <r>
    <x v="376"/>
    <x v="376"/>
    <s v="CUST00005"/>
    <x v="2"/>
    <s v="Karnataka"/>
    <x v="3"/>
    <s v="Lipstick"/>
    <s v="Lipstick Max"/>
    <n v="2"/>
    <n v="1959"/>
    <n v="5"/>
    <n v="195.9"/>
    <n v="3722.1"/>
    <x v="1"/>
    <n v="3"/>
    <x v="0"/>
  </r>
  <r>
    <x v="377"/>
    <x v="377"/>
    <s v="CUST00051"/>
    <x v="4"/>
    <s v="West Bengal"/>
    <x v="3"/>
    <s v="Moisturizer"/>
    <s v="Moisturizer Classic"/>
    <n v="1"/>
    <n v="1298"/>
    <n v="0"/>
    <n v="0"/>
    <n v="1298"/>
    <x v="2"/>
    <n v="3"/>
    <x v="0"/>
  </r>
  <r>
    <x v="378"/>
    <x v="378"/>
    <s v="Unknown"/>
    <x v="4"/>
    <s v="West Bengal"/>
    <x v="0"/>
    <s v="Cooker"/>
    <s v="Cooker Max"/>
    <n v="1"/>
    <n v="6951"/>
    <n v="0"/>
    <n v="0"/>
    <n v="6951"/>
    <x v="3"/>
    <n v="5"/>
    <x v="0"/>
  </r>
  <r>
    <x v="379"/>
    <x v="379"/>
    <s v="CUST00285"/>
    <x v="8"/>
    <s v="Telangana"/>
    <x v="1"/>
    <s v="Jeans"/>
    <s v="Jeans Max"/>
    <n v="2"/>
    <n v="1119"/>
    <n v="20"/>
    <n v="447.6"/>
    <n v="1790.4"/>
    <x v="4"/>
    <n v="3"/>
    <x v="0"/>
  </r>
  <r>
    <x v="380"/>
    <x v="380"/>
    <s v="CUST00214"/>
    <x v="5"/>
    <s v="Delhi"/>
    <x v="4"/>
    <s v="Dal"/>
    <s v="Dal Plus"/>
    <n v="3"/>
    <n v="473"/>
    <n v="10"/>
    <n v="141.9"/>
    <n v="1277.0999999999999"/>
    <x v="4"/>
    <n v="3"/>
    <x v="0"/>
  </r>
  <r>
    <x v="381"/>
    <x v="381"/>
    <s v="CUST00071"/>
    <x v="8"/>
    <s v="Telangana"/>
    <x v="4"/>
    <s v="Dal"/>
    <s v="Dal Plus"/>
    <n v="3"/>
    <n v="1191"/>
    <n v="5"/>
    <n v="178.65"/>
    <n v="3394.35"/>
    <x v="2"/>
    <n v="2"/>
    <x v="0"/>
  </r>
  <r>
    <x v="382"/>
    <x v="382"/>
    <s v="CUST00016"/>
    <x v="4"/>
    <s v="West Bengal"/>
    <x v="3"/>
    <s v="Perfume"/>
    <s v="Perfume Max"/>
    <n v="1"/>
    <n v="534"/>
    <n v="0"/>
    <n v="0"/>
    <n v="534"/>
    <x v="0"/>
    <n v="5"/>
    <x v="0"/>
  </r>
  <r>
    <x v="383"/>
    <x v="383"/>
    <s v="CUST00137"/>
    <x v="3"/>
    <s v="Tamil Nadu"/>
    <x v="4"/>
    <s v="Snacks"/>
    <s v="Snacks Lite"/>
    <n v="1"/>
    <n v="1459"/>
    <n v="10"/>
    <n v="145.9"/>
    <n v="1313.1"/>
    <x v="0"/>
    <n v="4"/>
    <x v="0"/>
  </r>
  <r>
    <x v="384"/>
    <x v="384"/>
    <s v="CUST00192"/>
    <x v="9"/>
    <s v="Maharashtra"/>
    <x v="3"/>
    <s v="Perfume"/>
    <s v="Perfume Plus"/>
    <n v="1"/>
    <n v="986"/>
    <n v="15"/>
    <n v="147.9"/>
    <n v="838.1"/>
    <x v="1"/>
    <n v="2"/>
    <x v="0"/>
  </r>
  <r>
    <x v="385"/>
    <x v="385"/>
    <s v="CUST00104"/>
    <x v="5"/>
    <s v="Delhi"/>
    <x v="2"/>
    <s v="Laptop"/>
    <s v="Laptop Plus"/>
    <n v="2"/>
    <n v="32608"/>
    <n v="5"/>
    <n v="3260.8"/>
    <n v="61955.199999999997"/>
    <x v="2"/>
    <n v="4"/>
    <x v="0"/>
  </r>
  <r>
    <x v="386"/>
    <x v="386"/>
    <s v="CUST00202"/>
    <x v="3"/>
    <s v="Tamil Nadu"/>
    <x v="4"/>
    <s v="Snacks"/>
    <s v="Snacks Classic"/>
    <n v="1"/>
    <n v="985"/>
    <n v="15"/>
    <n v="147.75"/>
    <n v="837.25"/>
    <x v="0"/>
    <n v="5"/>
    <x v="0"/>
  </r>
  <r>
    <x v="387"/>
    <x v="387"/>
    <s v="CUST00276"/>
    <x v="6"/>
    <s v="Maharashtra"/>
    <x v="2"/>
    <s v="Power Bank"/>
    <s v="Power Bank Plus"/>
    <n v="1"/>
    <n v="3730"/>
    <n v="15"/>
    <n v="559.5"/>
    <n v="3170.5"/>
    <x v="2"/>
    <n v="3"/>
    <x v="0"/>
  </r>
  <r>
    <x v="388"/>
    <x v="388"/>
    <s v="CUST00028"/>
    <x v="1"/>
    <s v="Tamil Nadu"/>
    <x v="1"/>
    <s v="Watch"/>
    <s v="Watch Plus"/>
    <n v="1"/>
    <n v="1327"/>
    <n v="15"/>
    <n v="199.05"/>
    <n v="1127.95"/>
    <x v="4"/>
    <n v="1"/>
    <x v="0"/>
  </r>
  <r>
    <x v="389"/>
    <x v="389"/>
    <s v="CUST00166"/>
    <x v="7"/>
    <s v="Tamil Nadu"/>
    <x v="2"/>
    <s v="Laptop"/>
    <s v="Laptop Plus"/>
    <n v="1"/>
    <n v="13733"/>
    <n v="10"/>
    <n v="1373.3"/>
    <n v="12359.7"/>
    <x v="2"/>
    <n v="7"/>
    <x v="0"/>
  </r>
  <r>
    <x v="390"/>
    <x v="390"/>
    <s v="CUST00047"/>
    <x v="2"/>
    <s v="Karnataka"/>
    <x v="3"/>
    <s v="Lipstick"/>
    <s v="Lipstick Pro"/>
    <n v="1"/>
    <n v="477"/>
    <n v="5"/>
    <n v="23.85"/>
    <n v="453.15"/>
    <x v="0"/>
    <n v="2"/>
    <x v="0"/>
  </r>
  <r>
    <x v="391"/>
    <x v="391"/>
    <s v="CUST00290"/>
    <x v="9"/>
    <s v="Maharashtra"/>
    <x v="1"/>
    <s v="Jeans"/>
    <s v="Jeans Lite"/>
    <n v="2"/>
    <n v="3837"/>
    <n v="0"/>
    <n v="0"/>
    <n v="7674"/>
    <x v="0"/>
    <n v="4"/>
    <x v="0"/>
  </r>
  <r>
    <x v="392"/>
    <x v="392"/>
    <s v="CUST00002"/>
    <x v="3"/>
    <s v="Tamil Nadu"/>
    <x v="0"/>
    <s v="Bedsheet"/>
    <s v="Bedsheet Plus"/>
    <n v="1"/>
    <n v="6914"/>
    <n v="15"/>
    <n v="1037.0999999999999"/>
    <n v="5876.9"/>
    <x v="0"/>
    <n v="3"/>
    <x v="0"/>
  </r>
  <r>
    <x v="393"/>
    <x v="393"/>
    <s v="CUST00233"/>
    <x v="6"/>
    <s v="Maharashtra"/>
    <x v="3"/>
    <s v="Face Wash"/>
    <s v="Face Wash Classic"/>
    <n v="1"/>
    <n v="1419"/>
    <n v="5"/>
    <n v="70.95"/>
    <n v="1348.05"/>
    <x v="2"/>
    <n v="2"/>
    <x v="0"/>
  </r>
  <r>
    <x v="394"/>
    <x v="394"/>
    <s v="CUST00179"/>
    <x v="0"/>
    <s v="Tamil Nadu"/>
    <x v="1"/>
    <s v="T-Shirt"/>
    <s v="T-Shirt Classic"/>
    <n v="2"/>
    <n v="3112"/>
    <n v="0"/>
    <n v="0"/>
    <n v="6224"/>
    <x v="1"/>
    <n v="2"/>
    <x v="0"/>
  </r>
  <r>
    <x v="395"/>
    <x v="395"/>
    <s v="CUST00294"/>
    <x v="1"/>
    <s v="Tamil Nadu"/>
    <x v="1"/>
    <s v="Watch"/>
    <s v="Watch Classic"/>
    <n v="1"/>
    <n v="1162"/>
    <n v="5"/>
    <n v="58.1"/>
    <n v="1103.9000000000001"/>
    <x v="3"/>
    <n v="1"/>
    <x v="0"/>
  </r>
  <r>
    <x v="396"/>
    <x v="396"/>
    <s v="CUST00282"/>
    <x v="2"/>
    <s v="Karnataka"/>
    <x v="0"/>
    <s v="Curtains"/>
    <s v="Curtains Lite"/>
    <n v="1"/>
    <n v="4617"/>
    <n v="0"/>
    <n v="0"/>
    <n v="4617"/>
    <x v="0"/>
    <n v="1"/>
    <x v="0"/>
  </r>
  <r>
    <x v="397"/>
    <x v="397"/>
    <s v="CUST00271"/>
    <x v="2"/>
    <s v="Karnataka"/>
    <x v="3"/>
    <s v="Moisturizer"/>
    <s v="Moisturizer Max"/>
    <n v="1"/>
    <n v="1327"/>
    <n v="5"/>
    <n v="66.349999999999994"/>
    <n v="1260.6500000000001"/>
    <x v="0"/>
    <n v="3"/>
    <x v="0"/>
  </r>
  <r>
    <x v="398"/>
    <x v="398"/>
    <s v="CUST00255"/>
    <x v="7"/>
    <s v="Tamil Nadu"/>
    <x v="1"/>
    <s v="Handbag"/>
    <s v="Handbag Lite"/>
    <n v="2"/>
    <n v="412"/>
    <n v="10"/>
    <n v="82.4"/>
    <n v="741.6"/>
    <x v="0"/>
    <n v="4"/>
    <x v="0"/>
  </r>
  <r>
    <x v="399"/>
    <x v="399"/>
    <s v="CUST00213"/>
    <x v="6"/>
    <s v="Maharashtra"/>
    <x v="2"/>
    <s v="Headphones"/>
    <s v="Headphones Max"/>
    <n v="1"/>
    <n v="14415"/>
    <n v="0"/>
    <n v="0"/>
    <n v="14415"/>
    <x v="2"/>
    <n v="3"/>
    <x v="0"/>
  </r>
  <r>
    <x v="400"/>
    <x v="400"/>
    <s v="CUST00004"/>
    <x v="2"/>
    <s v="Karnataka"/>
    <x v="0"/>
    <s v="Cooker"/>
    <s v="Cooker Plus"/>
    <n v="2"/>
    <n v="1889"/>
    <n v="15"/>
    <n v="566.70000000000005"/>
    <n v="3211.3"/>
    <x v="3"/>
    <n v="2"/>
    <x v="0"/>
  </r>
  <r>
    <x v="401"/>
    <x v="401"/>
    <s v="CUST00070"/>
    <x v="7"/>
    <s v="Tamil Nadu"/>
    <x v="1"/>
    <s v="Watch"/>
    <s v="Watch Classic"/>
    <n v="2"/>
    <n v="3791"/>
    <n v="15"/>
    <n v="1137.3"/>
    <n v="6444.7"/>
    <x v="0"/>
    <n v="3"/>
    <x v="0"/>
  </r>
  <r>
    <x v="402"/>
    <x v="402"/>
    <s v="CUST00285"/>
    <x v="1"/>
    <s v="Tamil Nadu"/>
    <x v="2"/>
    <s v="Laptop"/>
    <s v="Laptop Classic"/>
    <n v="1"/>
    <n v="23673"/>
    <n v="5"/>
    <n v="1183.6500000000001"/>
    <n v="22489.35"/>
    <x v="3"/>
    <n v="3"/>
    <x v="0"/>
  </r>
  <r>
    <x v="403"/>
    <x v="403"/>
    <s v="Unknown"/>
    <x v="3"/>
    <s v="Tamil Nadu"/>
    <x v="3"/>
    <s v="Shampoo"/>
    <s v="Shampoo Classic"/>
    <n v="1"/>
    <n v="214"/>
    <n v="5"/>
    <n v="10.7"/>
    <n v="203.3"/>
    <x v="3"/>
    <n v="2"/>
    <x v="0"/>
  </r>
  <r>
    <x v="404"/>
    <x v="404"/>
    <s v="CUST00155"/>
    <x v="5"/>
    <s v="Delhi"/>
    <x v="4"/>
    <s v="Oil"/>
    <s v="Oil Lite"/>
    <n v="1"/>
    <n v="958"/>
    <n v="5"/>
    <n v="47.9"/>
    <n v="910.1"/>
    <x v="2"/>
    <n v="5"/>
    <x v="0"/>
  </r>
  <r>
    <x v="405"/>
    <x v="405"/>
    <s v="CUST00248"/>
    <x v="1"/>
    <s v="Tamil Nadu"/>
    <x v="0"/>
    <s v="Cooker"/>
    <s v="Cooker Lite"/>
    <n v="2"/>
    <n v="5843"/>
    <n v="10"/>
    <n v="1168.5999999999999"/>
    <n v="10517.4"/>
    <x v="3"/>
    <n v="3"/>
    <x v="0"/>
  </r>
  <r>
    <x v="406"/>
    <x v="406"/>
    <s v="CUST00060"/>
    <x v="0"/>
    <s v="Tamil Nadu"/>
    <x v="0"/>
    <s v="Bedsheet"/>
    <s v="Bedsheet Classic"/>
    <n v="2"/>
    <n v="7584"/>
    <n v="5"/>
    <n v="758.4"/>
    <n v="14409.6"/>
    <x v="4"/>
    <n v="2"/>
    <x v="0"/>
  </r>
  <r>
    <x v="407"/>
    <x v="407"/>
    <s v="CUST00160"/>
    <x v="5"/>
    <s v="Delhi"/>
    <x v="0"/>
    <s v="Mixer"/>
    <s v="Mixer Lite"/>
    <n v="1"/>
    <n v="6630"/>
    <n v="0"/>
    <n v="0"/>
    <n v="6630"/>
    <x v="0"/>
    <n v="2"/>
    <x v="0"/>
  </r>
  <r>
    <x v="408"/>
    <x v="408"/>
    <s v="CUST00287"/>
    <x v="1"/>
    <s v="Tamil Nadu"/>
    <x v="2"/>
    <s v="Laptop"/>
    <s v="Laptop Classic"/>
    <n v="1"/>
    <n v="21372"/>
    <n v="5"/>
    <n v="1068.5999999999999"/>
    <n v="20303.400000000001"/>
    <x v="0"/>
    <n v="2"/>
    <x v="0"/>
  </r>
  <r>
    <x v="409"/>
    <x v="409"/>
    <s v="CUST00277"/>
    <x v="7"/>
    <s v="Tamil Nadu"/>
    <x v="2"/>
    <s v="Laptop"/>
    <s v="Laptop Pro"/>
    <n v="1"/>
    <n v="3806"/>
    <n v="5"/>
    <n v="190.3"/>
    <n v="3615.7"/>
    <x v="0"/>
    <n v="3"/>
    <x v="0"/>
  </r>
  <r>
    <x v="410"/>
    <x v="410"/>
    <s v="CUST00229"/>
    <x v="3"/>
    <s v="Tamil Nadu"/>
    <x v="0"/>
    <s v="Cooker"/>
    <s v="Cooker Max"/>
    <n v="2"/>
    <n v="7859"/>
    <n v="5"/>
    <n v="785.9"/>
    <n v="14932.1"/>
    <x v="0"/>
    <n v="4"/>
    <x v="0"/>
  </r>
  <r>
    <x v="411"/>
    <x v="411"/>
    <s v="CUST00240"/>
    <x v="2"/>
    <s v="Karnataka"/>
    <x v="3"/>
    <s v="Lipstick"/>
    <s v="Lipstick Plus"/>
    <n v="1"/>
    <n v="1984"/>
    <n v="0"/>
    <n v="0"/>
    <n v="1984"/>
    <x v="3"/>
    <n v="2"/>
    <x v="0"/>
  </r>
  <r>
    <x v="412"/>
    <x v="412"/>
    <s v="CUST00170"/>
    <x v="4"/>
    <s v="West Bengal"/>
    <x v="3"/>
    <s v="Perfume"/>
    <s v="Perfume Pro"/>
    <n v="1"/>
    <n v="1094"/>
    <n v="0"/>
    <n v="0"/>
    <n v="1094"/>
    <x v="0"/>
    <n v="3"/>
    <x v="0"/>
  </r>
  <r>
    <x v="413"/>
    <x v="413"/>
    <s v="CUST00053"/>
    <x v="6"/>
    <s v="Maharashtra"/>
    <x v="2"/>
    <s v="Headphones"/>
    <s v="Headphones Classic"/>
    <n v="1"/>
    <n v="20299"/>
    <n v="5"/>
    <n v="1014.95"/>
    <n v="19284.05"/>
    <x v="4"/>
    <n v="3"/>
    <x v="0"/>
  </r>
  <r>
    <x v="414"/>
    <x v="414"/>
    <s v="CUST00197"/>
    <x v="2"/>
    <s v="Karnataka"/>
    <x v="0"/>
    <s v="Mixer"/>
    <s v="Mixer Classic"/>
    <n v="1"/>
    <n v="4760"/>
    <n v="0"/>
    <n v="0"/>
    <n v="4760"/>
    <x v="4"/>
    <n v="3"/>
    <x v="0"/>
  </r>
  <r>
    <x v="415"/>
    <x v="415"/>
    <s v="CUST00294"/>
    <x v="7"/>
    <s v="Tamil Nadu"/>
    <x v="2"/>
    <s v="Power Bank"/>
    <s v="Power Bank Classic"/>
    <n v="1"/>
    <n v="36878"/>
    <n v="5"/>
    <n v="1843.9"/>
    <n v="35034.1"/>
    <x v="3"/>
    <n v="3"/>
    <x v="0"/>
  </r>
  <r>
    <x v="416"/>
    <x v="416"/>
    <s v="CUST00195"/>
    <x v="4"/>
    <s v="West Bengal"/>
    <x v="3"/>
    <s v="Face Wash"/>
    <s v="Face Wash Pro"/>
    <n v="1"/>
    <n v="450"/>
    <n v="0"/>
    <n v="0"/>
    <n v="450"/>
    <x v="3"/>
    <n v="2"/>
    <x v="0"/>
  </r>
  <r>
    <x v="417"/>
    <x v="417"/>
    <s v="CUST00229"/>
    <x v="5"/>
    <s v="Delhi"/>
    <x v="1"/>
    <s v="Shoes"/>
    <s v="Shoes Max"/>
    <n v="1"/>
    <n v="3961"/>
    <n v="5"/>
    <n v="198.05"/>
    <n v="3762.95"/>
    <x v="4"/>
    <n v="3"/>
    <x v="0"/>
  </r>
  <r>
    <x v="418"/>
    <x v="418"/>
    <s v="CUST00151"/>
    <x v="0"/>
    <s v="Tamil Nadu"/>
    <x v="0"/>
    <s v="Dinner Set"/>
    <s v="Dinner Set Pro"/>
    <n v="1"/>
    <n v="1198"/>
    <n v="15"/>
    <n v="179.7"/>
    <n v="1018.3"/>
    <x v="0"/>
    <n v="3"/>
    <x v="0"/>
  </r>
  <r>
    <x v="419"/>
    <x v="419"/>
    <s v="CUST00163"/>
    <x v="6"/>
    <s v="Maharashtra"/>
    <x v="3"/>
    <s v="Perfume"/>
    <s v="Perfume Plus"/>
    <n v="1"/>
    <n v="535"/>
    <n v="5"/>
    <n v="26.75"/>
    <n v="508.25"/>
    <x v="2"/>
    <n v="5"/>
    <x v="0"/>
  </r>
  <r>
    <x v="420"/>
    <x v="420"/>
    <s v="CUST00065"/>
    <x v="9"/>
    <s v="Maharashtra"/>
    <x v="2"/>
    <s v="Mobile"/>
    <s v="Mobile Pro"/>
    <n v="1"/>
    <n v="32396"/>
    <n v="10"/>
    <n v="3239.6"/>
    <n v="29156.400000000001"/>
    <x v="3"/>
    <n v="2"/>
    <x v="0"/>
  </r>
  <r>
    <x v="421"/>
    <x v="421"/>
    <s v="CUST00218"/>
    <x v="3"/>
    <s v="Tamil Nadu"/>
    <x v="1"/>
    <s v="Watch"/>
    <s v="Watch Classic"/>
    <n v="1"/>
    <n v="3551"/>
    <n v="5"/>
    <n v="177.55"/>
    <n v="3373.45"/>
    <x v="0"/>
    <n v="2"/>
    <x v="0"/>
  </r>
  <r>
    <x v="422"/>
    <x v="422"/>
    <s v="CUST00257"/>
    <x v="8"/>
    <s v="Telangana"/>
    <x v="3"/>
    <s v="Moisturizer"/>
    <s v="Moisturizer Classic"/>
    <n v="1"/>
    <n v="904"/>
    <n v="5"/>
    <n v="45.2"/>
    <n v="858.8"/>
    <x v="1"/>
    <n v="1"/>
    <x v="0"/>
  </r>
  <r>
    <x v="423"/>
    <x v="423"/>
    <s v="CUST00144"/>
    <x v="7"/>
    <s v="Tamil Nadu"/>
    <x v="4"/>
    <s v="Rice"/>
    <s v="Rice Classic"/>
    <n v="2"/>
    <n v="1409"/>
    <n v="20"/>
    <n v="563.6"/>
    <n v="2254.4"/>
    <x v="0"/>
    <n v="3"/>
    <x v="0"/>
  </r>
  <r>
    <x v="424"/>
    <x v="424"/>
    <s v="CUST00160"/>
    <x v="3"/>
    <s v="Tamil Nadu"/>
    <x v="2"/>
    <s v="Headphones"/>
    <s v="Headphones Classic"/>
    <n v="2"/>
    <n v="31227"/>
    <n v="10"/>
    <n v="6245.4"/>
    <n v="56208.6"/>
    <x v="3"/>
    <n v="5"/>
    <x v="0"/>
  </r>
  <r>
    <x v="425"/>
    <x v="425"/>
    <s v="CUST00019"/>
    <x v="3"/>
    <s v="Tamil Nadu"/>
    <x v="0"/>
    <s v="Dinner Set"/>
    <s v="Dinner Set Max"/>
    <n v="1"/>
    <n v="4992"/>
    <n v="20"/>
    <n v="998.4"/>
    <n v="3993.6"/>
    <x v="2"/>
    <n v="7"/>
    <x v="0"/>
  </r>
  <r>
    <x v="426"/>
    <x v="426"/>
    <s v="CUST00065"/>
    <x v="1"/>
    <s v="Tamil Nadu"/>
    <x v="2"/>
    <s v="Headphones"/>
    <s v="Headphones Max"/>
    <n v="1"/>
    <n v="18913"/>
    <n v="10"/>
    <n v="1891.3"/>
    <n v="17021.7"/>
    <x v="4"/>
    <n v="4"/>
    <x v="0"/>
  </r>
  <r>
    <x v="427"/>
    <x v="427"/>
    <s v="CUST00229"/>
    <x v="4"/>
    <s v="West Bengal"/>
    <x v="1"/>
    <s v="Shoes"/>
    <s v="Shoes Lite"/>
    <n v="1"/>
    <n v="671"/>
    <n v="5"/>
    <n v="33.549999999999997"/>
    <n v="637.45000000000005"/>
    <x v="2"/>
    <n v="5"/>
    <x v="0"/>
  </r>
  <r>
    <x v="428"/>
    <x v="428"/>
    <s v="CUST00197"/>
    <x v="5"/>
    <s v="Delhi"/>
    <x v="3"/>
    <s v="Shampoo"/>
    <s v="Shampoo Lite"/>
    <n v="1"/>
    <n v="691"/>
    <n v="0"/>
    <n v="0"/>
    <n v="691"/>
    <x v="3"/>
    <n v="2"/>
    <x v="0"/>
  </r>
  <r>
    <x v="429"/>
    <x v="429"/>
    <s v="CUST00273"/>
    <x v="5"/>
    <s v="Delhi"/>
    <x v="3"/>
    <s v="Perfume"/>
    <s v="Perfume Plus"/>
    <n v="1"/>
    <n v="741"/>
    <n v="5"/>
    <n v="37.049999999999997"/>
    <n v="703.95"/>
    <x v="0"/>
    <n v="3"/>
    <x v="0"/>
  </r>
  <r>
    <x v="430"/>
    <x v="430"/>
    <s v="CUST00050"/>
    <x v="1"/>
    <s v="Tamil Nadu"/>
    <x v="0"/>
    <s v="Curtains"/>
    <s v="Curtains Classic"/>
    <n v="3"/>
    <n v="2514"/>
    <n v="0"/>
    <n v="0"/>
    <n v="7542"/>
    <x v="4"/>
    <n v="2"/>
    <x v="0"/>
  </r>
  <r>
    <x v="431"/>
    <x v="431"/>
    <s v="CUST00124"/>
    <x v="3"/>
    <s v="Tamil Nadu"/>
    <x v="1"/>
    <s v="Handbag"/>
    <s v="Handbag Max"/>
    <n v="1"/>
    <n v="2966"/>
    <n v="0"/>
    <n v="0"/>
    <n v="2966"/>
    <x v="0"/>
    <n v="2"/>
    <x v="0"/>
  </r>
  <r>
    <x v="432"/>
    <x v="432"/>
    <s v="CUST00054"/>
    <x v="7"/>
    <s v="Tamil Nadu"/>
    <x v="0"/>
    <s v="Mixer"/>
    <s v="Mixer Max"/>
    <n v="1"/>
    <n v="5374"/>
    <n v="15"/>
    <n v="806.1"/>
    <n v="4567.8999999999996"/>
    <x v="4"/>
    <n v="4"/>
    <x v="0"/>
  </r>
  <r>
    <x v="433"/>
    <x v="433"/>
    <s v="CUST00063"/>
    <x v="2"/>
    <s v="Karnataka"/>
    <x v="2"/>
    <s v="Power Bank"/>
    <s v="Power Bank Lite"/>
    <n v="1"/>
    <n v="37597"/>
    <n v="0"/>
    <n v="0"/>
    <n v="37597"/>
    <x v="0"/>
    <n v="3"/>
    <x v="0"/>
  </r>
  <r>
    <x v="434"/>
    <x v="434"/>
    <s v="CUST00233"/>
    <x v="8"/>
    <s v="Telangana"/>
    <x v="3"/>
    <s v="Lipstick"/>
    <s v="Lipstick Max"/>
    <n v="1"/>
    <n v="277"/>
    <n v="5"/>
    <n v="13.85"/>
    <n v="263.14999999999998"/>
    <x v="1"/>
    <n v="2"/>
    <x v="0"/>
  </r>
  <r>
    <x v="435"/>
    <x v="435"/>
    <s v="CUST00036"/>
    <x v="7"/>
    <s v="Tamil Nadu"/>
    <x v="1"/>
    <s v="Handbag"/>
    <s v="Handbag Plus"/>
    <n v="1"/>
    <n v="1288"/>
    <n v="0"/>
    <n v="0"/>
    <n v="1288"/>
    <x v="4"/>
    <n v="4"/>
    <x v="0"/>
  </r>
  <r>
    <x v="436"/>
    <x v="436"/>
    <s v="CUST00038"/>
    <x v="2"/>
    <s v="Karnataka"/>
    <x v="4"/>
    <s v="Oil"/>
    <s v="Oil Plus"/>
    <n v="1"/>
    <n v="51"/>
    <n v="15"/>
    <n v="7.65"/>
    <n v="43.35"/>
    <x v="4"/>
    <n v="2"/>
    <x v="0"/>
  </r>
  <r>
    <x v="437"/>
    <x v="437"/>
    <s v="CUST00169"/>
    <x v="6"/>
    <s v="Maharashtra"/>
    <x v="4"/>
    <s v="Rice"/>
    <s v="Rice Classic"/>
    <n v="2"/>
    <n v="193"/>
    <n v="5"/>
    <n v="19.3"/>
    <n v="366.7"/>
    <x v="0"/>
    <n v="5"/>
    <x v="0"/>
  </r>
  <r>
    <x v="438"/>
    <x v="438"/>
    <s v="CUST00063"/>
    <x v="3"/>
    <s v="Tamil Nadu"/>
    <x v="4"/>
    <s v="Oil"/>
    <s v="Oil Max"/>
    <n v="1"/>
    <n v="235"/>
    <n v="5"/>
    <n v="11.75"/>
    <n v="223.25"/>
    <x v="2"/>
    <n v="5"/>
    <x v="0"/>
  </r>
  <r>
    <x v="439"/>
    <x v="439"/>
    <s v="CUST00091"/>
    <x v="1"/>
    <s v="Tamil Nadu"/>
    <x v="2"/>
    <s v="Smart Watch"/>
    <s v="Smart Watch Lite"/>
    <n v="1"/>
    <n v="26065"/>
    <n v="5"/>
    <n v="1303.25"/>
    <n v="24761.75"/>
    <x v="2"/>
    <n v="6"/>
    <x v="1"/>
  </r>
  <r>
    <x v="440"/>
    <x v="440"/>
    <s v="CUST00099"/>
    <x v="0"/>
    <s v="Tamil Nadu"/>
    <x v="4"/>
    <s v="Dal"/>
    <s v="Dal Plus"/>
    <n v="1"/>
    <n v="970"/>
    <n v="20"/>
    <n v="194"/>
    <n v="776"/>
    <x v="0"/>
    <n v="2"/>
    <x v="0"/>
  </r>
  <r>
    <x v="441"/>
    <x v="441"/>
    <s v="CUST00022"/>
    <x v="6"/>
    <s v="Maharashtra"/>
    <x v="2"/>
    <s v="Laptop"/>
    <s v="Laptop Classic"/>
    <n v="1"/>
    <n v="35664"/>
    <n v="15"/>
    <n v="5349.6"/>
    <n v="30314.400000000001"/>
    <x v="0"/>
    <n v="1"/>
    <x v="0"/>
  </r>
  <r>
    <x v="442"/>
    <x v="442"/>
    <s v="CUST00010"/>
    <x v="7"/>
    <s v="Tamil Nadu"/>
    <x v="4"/>
    <s v="Rice"/>
    <s v="Rice Lite"/>
    <n v="2"/>
    <n v="152"/>
    <n v="15"/>
    <n v="45.6"/>
    <n v="258.39999999999998"/>
    <x v="2"/>
    <n v="3"/>
    <x v="0"/>
  </r>
  <r>
    <x v="443"/>
    <x v="443"/>
    <s v="CUST00033"/>
    <x v="2"/>
    <s v="Karnataka"/>
    <x v="2"/>
    <s v="Smart Watch"/>
    <s v="Smart Watch Classic"/>
    <n v="2"/>
    <n v="14955"/>
    <n v="5"/>
    <n v="1495.5"/>
    <n v="28414.5"/>
    <x v="2"/>
    <n v="4"/>
    <x v="0"/>
  </r>
  <r>
    <x v="444"/>
    <x v="444"/>
    <s v="CUST00295"/>
    <x v="1"/>
    <s v="Tamil Nadu"/>
    <x v="1"/>
    <s v="Shoes"/>
    <s v="Shoes Lite"/>
    <n v="2"/>
    <n v="1820"/>
    <n v="0"/>
    <n v="0"/>
    <n v="3640"/>
    <x v="2"/>
    <n v="4"/>
    <x v="0"/>
  </r>
  <r>
    <x v="445"/>
    <x v="445"/>
    <s v="CUST00225"/>
    <x v="5"/>
    <s v="Delhi"/>
    <x v="4"/>
    <s v="Rice"/>
    <s v="Rice Lite"/>
    <n v="1"/>
    <n v="1047"/>
    <n v="0"/>
    <n v="0"/>
    <n v="1047"/>
    <x v="0"/>
    <n v="4"/>
    <x v="0"/>
  </r>
  <r>
    <x v="446"/>
    <x v="446"/>
    <s v="CUST00146"/>
    <x v="6"/>
    <s v="Maharashtra"/>
    <x v="3"/>
    <s v="Shampoo"/>
    <s v="Shampoo Lite"/>
    <n v="1"/>
    <n v="993"/>
    <n v="15"/>
    <n v="148.94999999999999"/>
    <n v="844.05"/>
    <x v="4"/>
    <n v="1"/>
    <x v="0"/>
  </r>
  <r>
    <x v="447"/>
    <x v="447"/>
    <s v="CUST00256"/>
    <x v="3"/>
    <s v="Tamil Nadu"/>
    <x v="2"/>
    <s v="Headphones"/>
    <s v="Headphones Max"/>
    <n v="1"/>
    <n v="37050"/>
    <n v="20"/>
    <n v="7410"/>
    <n v="29640"/>
    <x v="4"/>
    <n v="4"/>
    <x v="0"/>
  </r>
  <r>
    <x v="448"/>
    <x v="448"/>
    <s v="CUST00260"/>
    <x v="5"/>
    <s v="Delhi"/>
    <x v="3"/>
    <s v="Shampoo"/>
    <s v="Shampoo Max"/>
    <n v="1"/>
    <n v="1878"/>
    <n v="5"/>
    <n v="93.9"/>
    <n v="1784.1"/>
    <x v="0"/>
    <n v="4"/>
    <x v="0"/>
  </r>
  <r>
    <x v="449"/>
    <x v="449"/>
    <s v="CUST00187"/>
    <x v="8"/>
    <s v="Telangana"/>
    <x v="1"/>
    <s v="Watch"/>
    <s v="Watch Max"/>
    <n v="1"/>
    <n v="754"/>
    <n v="15"/>
    <n v="113.1"/>
    <n v="640.9"/>
    <x v="0"/>
    <n v="3"/>
    <x v="0"/>
  </r>
  <r>
    <x v="450"/>
    <x v="450"/>
    <s v="CUST00264"/>
    <x v="2"/>
    <s v="Karnataka"/>
    <x v="2"/>
    <s v="Laptop"/>
    <s v="Laptop Plus"/>
    <n v="1"/>
    <n v="21862"/>
    <n v="15"/>
    <n v="3279.3"/>
    <n v="18582.7"/>
    <x v="0"/>
    <n v="1"/>
    <x v="0"/>
  </r>
  <r>
    <x v="451"/>
    <x v="451"/>
    <s v="CUST00051"/>
    <x v="5"/>
    <s v="Delhi"/>
    <x v="3"/>
    <s v="Shampoo"/>
    <s v="Shampoo Plus"/>
    <n v="2"/>
    <n v="1142"/>
    <n v="15"/>
    <n v="342.6"/>
    <n v="1941.4"/>
    <x v="0"/>
    <n v="4"/>
    <x v="0"/>
  </r>
  <r>
    <x v="452"/>
    <x v="452"/>
    <s v="CUST00092"/>
    <x v="6"/>
    <s v="Maharashtra"/>
    <x v="0"/>
    <s v="Mixer"/>
    <s v="Mixer Plus"/>
    <n v="2"/>
    <n v="1956"/>
    <n v="0"/>
    <n v="0"/>
    <n v="3912"/>
    <x v="4"/>
    <n v="2"/>
    <x v="0"/>
  </r>
  <r>
    <x v="453"/>
    <x v="453"/>
    <s v="CUST00239"/>
    <x v="7"/>
    <s v="Tamil Nadu"/>
    <x v="3"/>
    <s v="Shampoo"/>
    <s v="Shampoo Max"/>
    <n v="1"/>
    <n v="1777"/>
    <n v="20"/>
    <n v="355.4"/>
    <n v="1421.6"/>
    <x v="2"/>
    <n v="6"/>
    <x v="0"/>
  </r>
  <r>
    <x v="454"/>
    <x v="454"/>
    <s v="CUST00045"/>
    <x v="6"/>
    <s v="Maharashtra"/>
    <x v="4"/>
    <s v="Spices"/>
    <s v="Spices Lite"/>
    <n v="1"/>
    <n v="926"/>
    <n v="10"/>
    <n v="92.6"/>
    <n v="833.4"/>
    <x v="0"/>
    <n v="2"/>
    <x v="0"/>
  </r>
  <r>
    <x v="455"/>
    <x v="455"/>
    <s v="CUST00114"/>
    <x v="3"/>
    <s v="Tamil Nadu"/>
    <x v="1"/>
    <s v="Handbag"/>
    <s v="Handbag Pro"/>
    <n v="1"/>
    <n v="728"/>
    <n v="0"/>
    <n v="0"/>
    <n v="728"/>
    <x v="3"/>
    <n v="2"/>
    <x v="0"/>
  </r>
  <r>
    <x v="456"/>
    <x v="456"/>
    <s v="CUST00051"/>
    <x v="7"/>
    <s v="Tamil Nadu"/>
    <x v="3"/>
    <s v="Shampoo"/>
    <s v="Shampoo Pro"/>
    <n v="1"/>
    <n v="421"/>
    <n v="0"/>
    <n v="0"/>
    <n v="421"/>
    <x v="4"/>
    <n v="1"/>
    <x v="0"/>
  </r>
  <r>
    <x v="457"/>
    <x v="457"/>
    <s v="CUST00157"/>
    <x v="9"/>
    <s v="Maharashtra"/>
    <x v="3"/>
    <s v="Moisturizer"/>
    <s v="Moisturizer Classic"/>
    <n v="1"/>
    <n v="433"/>
    <n v="5"/>
    <n v="21.65"/>
    <n v="411.35"/>
    <x v="2"/>
    <n v="3"/>
    <x v="0"/>
  </r>
  <r>
    <x v="458"/>
    <x v="458"/>
    <s v="CUST00001"/>
    <x v="2"/>
    <s v="Karnataka"/>
    <x v="3"/>
    <s v="Lipstick"/>
    <s v="Lipstick Classic"/>
    <n v="1"/>
    <n v="1404"/>
    <n v="5"/>
    <n v="70.2"/>
    <n v="1333.8"/>
    <x v="0"/>
    <n v="3"/>
    <x v="0"/>
  </r>
  <r>
    <x v="459"/>
    <x v="459"/>
    <s v="CUST00172"/>
    <x v="0"/>
    <s v="Tamil Nadu"/>
    <x v="4"/>
    <s v="Oil"/>
    <s v="Oil Pro"/>
    <n v="1"/>
    <n v="798"/>
    <n v="5"/>
    <n v="39.9"/>
    <n v="758.1"/>
    <x v="4"/>
    <n v="3"/>
    <x v="0"/>
  </r>
  <r>
    <x v="460"/>
    <x v="460"/>
    <s v="CUST00105"/>
    <x v="9"/>
    <s v="Maharashtra"/>
    <x v="0"/>
    <s v="Mixer"/>
    <s v="Mixer Classic"/>
    <n v="1"/>
    <n v="6469"/>
    <n v="5"/>
    <n v="323.45"/>
    <n v="6145.55"/>
    <x v="2"/>
    <n v="4"/>
    <x v="0"/>
  </r>
  <r>
    <x v="461"/>
    <x v="461"/>
    <s v="CUST00033"/>
    <x v="4"/>
    <s v="West Bengal"/>
    <x v="0"/>
    <s v="Curtains"/>
    <s v="Curtains Plus"/>
    <n v="1"/>
    <n v="6114"/>
    <n v="15"/>
    <n v="917.1"/>
    <n v="5196.8999999999996"/>
    <x v="2"/>
    <n v="3"/>
    <x v="0"/>
  </r>
  <r>
    <x v="462"/>
    <x v="462"/>
    <s v="CUST00034"/>
    <x v="5"/>
    <s v="Delhi"/>
    <x v="3"/>
    <s v="Face Wash"/>
    <s v="Face Wash Pro"/>
    <n v="1"/>
    <n v="373"/>
    <n v="0"/>
    <n v="0"/>
    <n v="373"/>
    <x v="4"/>
    <n v="2"/>
    <x v="0"/>
  </r>
  <r>
    <x v="463"/>
    <x v="463"/>
    <s v="CUST00267"/>
    <x v="0"/>
    <s v="Tamil Nadu"/>
    <x v="0"/>
    <s v="Curtains"/>
    <s v="Curtains Classic"/>
    <n v="3"/>
    <n v="3741"/>
    <n v="0"/>
    <n v="0"/>
    <n v="11223"/>
    <x v="0"/>
    <n v="1"/>
    <x v="0"/>
  </r>
  <r>
    <x v="464"/>
    <x v="464"/>
    <s v="CUST00267"/>
    <x v="4"/>
    <s v="West Bengal"/>
    <x v="3"/>
    <s v="Moisturizer"/>
    <s v="Moisturizer Max"/>
    <n v="1"/>
    <n v="1513"/>
    <n v="5"/>
    <n v="75.650000000000006"/>
    <n v="1437.35"/>
    <x v="3"/>
    <n v="2"/>
    <x v="0"/>
  </r>
  <r>
    <x v="465"/>
    <x v="465"/>
    <s v="CUST00068"/>
    <x v="8"/>
    <s v="Telangana"/>
    <x v="1"/>
    <s v="Shoes"/>
    <s v="Shoes Lite"/>
    <n v="1"/>
    <n v="787"/>
    <n v="5"/>
    <n v="39.35"/>
    <n v="747.65"/>
    <x v="0"/>
    <n v="4"/>
    <x v="0"/>
  </r>
  <r>
    <x v="466"/>
    <x v="466"/>
    <s v="CUST00275"/>
    <x v="8"/>
    <s v="Telangana"/>
    <x v="1"/>
    <s v="Jeans"/>
    <s v="Jeans Lite"/>
    <n v="1"/>
    <n v="737"/>
    <n v="5"/>
    <n v="36.85"/>
    <n v="700.15"/>
    <x v="3"/>
    <n v="2"/>
    <x v="0"/>
  </r>
  <r>
    <x v="467"/>
    <x v="467"/>
    <s v="CUST00018"/>
    <x v="4"/>
    <s v="West Bengal"/>
    <x v="0"/>
    <s v="Mixer"/>
    <s v="Mixer Max"/>
    <n v="1"/>
    <n v="2770"/>
    <n v="5"/>
    <n v="138.5"/>
    <n v="2631.5"/>
    <x v="3"/>
    <n v="1"/>
    <x v="0"/>
  </r>
  <r>
    <x v="468"/>
    <x v="468"/>
    <s v="CUST00164"/>
    <x v="9"/>
    <s v="Maharashtra"/>
    <x v="2"/>
    <s v="Power Bank"/>
    <s v="Power Bank Classic"/>
    <n v="1"/>
    <n v="19869"/>
    <n v="10"/>
    <n v="1986.9"/>
    <n v="17882.099999999999"/>
    <x v="2"/>
    <n v="4"/>
    <x v="0"/>
  </r>
  <r>
    <x v="469"/>
    <x v="469"/>
    <s v="CUST00058"/>
    <x v="7"/>
    <s v="Tamil Nadu"/>
    <x v="2"/>
    <s v="Laptop"/>
    <s v="Laptop Classic"/>
    <n v="1"/>
    <n v="2125"/>
    <n v="5"/>
    <n v="106.25"/>
    <n v="2018.75"/>
    <x v="0"/>
    <n v="1"/>
    <x v="0"/>
  </r>
  <r>
    <x v="470"/>
    <x v="470"/>
    <s v="CUST00100"/>
    <x v="3"/>
    <s v="Tamil Nadu"/>
    <x v="4"/>
    <s v="Dal"/>
    <s v="Dal Max"/>
    <n v="1"/>
    <n v="1436"/>
    <n v="10"/>
    <n v="143.6"/>
    <n v="1292.4000000000001"/>
    <x v="0"/>
    <n v="3"/>
    <x v="0"/>
  </r>
  <r>
    <x v="471"/>
    <x v="471"/>
    <s v="CUST00252"/>
    <x v="4"/>
    <s v="West Bengal"/>
    <x v="4"/>
    <s v="Snacks"/>
    <s v="Snacks Classic"/>
    <n v="3"/>
    <n v="925"/>
    <n v="5"/>
    <n v="138.75"/>
    <n v="2636.25"/>
    <x v="3"/>
    <n v="2"/>
    <x v="0"/>
  </r>
  <r>
    <x v="472"/>
    <x v="472"/>
    <s v="CUST00158"/>
    <x v="7"/>
    <s v="Tamil Nadu"/>
    <x v="4"/>
    <s v="Rice"/>
    <s v="Rice Lite"/>
    <n v="2"/>
    <n v="641"/>
    <n v="0"/>
    <n v="0"/>
    <n v="1282"/>
    <x v="2"/>
    <n v="8"/>
    <x v="0"/>
  </r>
  <r>
    <x v="473"/>
    <x v="473"/>
    <s v="CUST00072"/>
    <x v="3"/>
    <s v="Tamil Nadu"/>
    <x v="4"/>
    <s v="Rice"/>
    <s v="Rice Lite"/>
    <n v="1"/>
    <n v="1259"/>
    <n v="10"/>
    <n v="125.9"/>
    <n v="1133.0999999999999"/>
    <x v="0"/>
    <n v="2"/>
    <x v="0"/>
  </r>
  <r>
    <x v="474"/>
    <x v="474"/>
    <s v="CUST00285"/>
    <x v="7"/>
    <s v="Tamil Nadu"/>
    <x v="4"/>
    <s v="Dal"/>
    <s v="Dal Lite"/>
    <n v="1"/>
    <n v="136"/>
    <n v="15"/>
    <n v="20.399999999999999"/>
    <n v="115.6"/>
    <x v="0"/>
    <n v="3"/>
    <x v="0"/>
  </r>
  <r>
    <x v="475"/>
    <x v="475"/>
    <s v="CUST00287"/>
    <x v="7"/>
    <s v="Tamil Nadu"/>
    <x v="1"/>
    <s v="T-Shirt"/>
    <s v="T-Shirt Pro"/>
    <n v="1"/>
    <n v="4271"/>
    <n v="15"/>
    <n v="640.65"/>
    <n v="3630.35"/>
    <x v="3"/>
    <n v="2"/>
    <x v="0"/>
  </r>
  <r>
    <x v="476"/>
    <x v="476"/>
    <s v="CUST00126"/>
    <x v="0"/>
    <s v="Tamil Nadu"/>
    <x v="2"/>
    <s v="Headphones"/>
    <s v="Headphones Plus"/>
    <n v="3"/>
    <n v="4872"/>
    <n v="5"/>
    <n v="730.8"/>
    <n v="13885.2"/>
    <x v="0"/>
    <n v="3"/>
    <x v="0"/>
  </r>
  <r>
    <x v="477"/>
    <x v="477"/>
    <s v="CUST00062"/>
    <x v="4"/>
    <s v="West Bengal"/>
    <x v="4"/>
    <s v="Snacks"/>
    <s v="Snacks Pro"/>
    <n v="2"/>
    <n v="994"/>
    <n v="15"/>
    <n v="298.2"/>
    <n v="1689.8"/>
    <x v="0"/>
    <n v="2"/>
    <x v="0"/>
  </r>
  <r>
    <x v="478"/>
    <x v="478"/>
    <s v="CUST00183"/>
    <x v="0"/>
    <s v="Tamil Nadu"/>
    <x v="0"/>
    <s v="Cooker"/>
    <s v="Cooker Classic"/>
    <n v="1"/>
    <n v="1887"/>
    <n v="0"/>
    <n v="0"/>
    <n v="1887"/>
    <x v="0"/>
    <n v="3"/>
    <x v="0"/>
  </r>
  <r>
    <x v="479"/>
    <x v="479"/>
    <s v="CUST00166"/>
    <x v="4"/>
    <s v="West Bengal"/>
    <x v="0"/>
    <s v="Cooker"/>
    <s v="Cooker Max"/>
    <n v="1"/>
    <n v="7044"/>
    <n v="0"/>
    <n v="0"/>
    <n v="7044"/>
    <x v="0"/>
    <n v="3"/>
    <x v="0"/>
  </r>
  <r>
    <x v="480"/>
    <x v="480"/>
    <s v="CUST00175"/>
    <x v="9"/>
    <s v="Maharashtra"/>
    <x v="2"/>
    <s v="Laptop"/>
    <s v="Laptop Lite"/>
    <n v="1"/>
    <n v="12848"/>
    <n v="15"/>
    <n v="1927.2"/>
    <n v="10920.8"/>
    <x v="2"/>
    <n v="4"/>
    <x v="0"/>
  </r>
  <r>
    <x v="481"/>
    <x v="481"/>
    <s v="CUST00236"/>
    <x v="2"/>
    <s v="Karnataka"/>
    <x v="2"/>
    <s v="Laptop"/>
    <s v="Laptop Pro"/>
    <n v="1"/>
    <n v="20919"/>
    <n v="15"/>
    <n v="3137.85"/>
    <n v="17781.150000000001"/>
    <x v="4"/>
    <n v="3"/>
    <x v="0"/>
  </r>
  <r>
    <x v="482"/>
    <x v="482"/>
    <s v="CUST00089"/>
    <x v="8"/>
    <s v="Telangana"/>
    <x v="2"/>
    <s v="Mobile"/>
    <s v="Mobile Lite"/>
    <n v="1"/>
    <n v="9829"/>
    <n v="0"/>
    <n v="0"/>
    <n v="9829"/>
    <x v="0"/>
    <n v="3"/>
    <x v="0"/>
  </r>
  <r>
    <x v="483"/>
    <x v="483"/>
    <s v="CUST00040"/>
    <x v="0"/>
    <s v="Tamil Nadu"/>
    <x v="3"/>
    <s v="Perfume"/>
    <s v="Perfume Pro"/>
    <n v="1"/>
    <n v="271"/>
    <n v="0"/>
    <n v="0"/>
    <n v="271"/>
    <x v="0"/>
    <n v="1"/>
    <x v="0"/>
  </r>
  <r>
    <x v="484"/>
    <x v="484"/>
    <s v="CUST00006"/>
    <x v="2"/>
    <s v="Karnataka"/>
    <x v="2"/>
    <s v="Power Bank"/>
    <s v="Power Bank Lite"/>
    <n v="1"/>
    <n v="13608"/>
    <n v="0"/>
    <n v="0"/>
    <n v="13608"/>
    <x v="2"/>
    <n v="5"/>
    <x v="0"/>
  </r>
  <r>
    <x v="485"/>
    <x v="485"/>
    <s v="CUST00181"/>
    <x v="9"/>
    <s v="Maharashtra"/>
    <x v="4"/>
    <s v="Snacks"/>
    <s v="Snacks Lite"/>
    <n v="1"/>
    <n v="78"/>
    <n v="5"/>
    <n v="3.9"/>
    <n v="74.099999999999994"/>
    <x v="2"/>
    <n v="6"/>
    <x v="0"/>
  </r>
  <r>
    <x v="486"/>
    <x v="486"/>
    <s v="CUST00003"/>
    <x v="2"/>
    <s v="Karnataka"/>
    <x v="1"/>
    <s v="Handbag"/>
    <s v="Handbag Plus"/>
    <n v="1"/>
    <n v="1916"/>
    <n v="0"/>
    <n v="0"/>
    <n v="1916"/>
    <x v="3"/>
    <n v="2"/>
    <x v="0"/>
  </r>
  <r>
    <x v="487"/>
    <x v="487"/>
    <s v="CUST00264"/>
    <x v="5"/>
    <s v="Delhi"/>
    <x v="3"/>
    <s v="Face Wash"/>
    <s v="Face Wash Max"/>
    <n v="1"/>
    <n v="1165"/>
    <n v="10"/>
    <n v="116.5"/>
    <n v="1048.5"/>
    <x v="4"/>
    <n v="1"/>
    <x v="0"/>
  </r>
  <r>
    <x v="488"/>
    <x v="488"/>
    <s v="CUST00253"/>
    <x v="2"/>
    <s v="Karnataka"/>
    <x v="3"/>
    <s v="Lipstick"/>
    <s v="Lipstick Plus"/>
    <n v="1"/>
    <n v="1284"/>
    <n v="0"/>
    <n v="0"/>
    <n v="1284"/>
    <x v="2"/>
    <n v="2"/>
    <x v="1"/>
  </r>
  <r>
    <x v="489"/>
    <x v="489"/>
    <s v="CUST00189"/>
    <x v="9"/>
    <s v="Maharashtra"/>
    <x v="2"/>
    <s v="Smart Watch"/>
    <s v="Smart Watch Pro"/>
    <n v="1"/>
    <n v="34753"/>
    <n v="5"/>
    <n v="1737.65"/>
    <n v="33015.35"/>
    <x v="4"/>
    <n v="1"/>
    <x v="0"/>
  </r>
  <r>
    <x v="490"/>
    <x v="490"/>
    <s v="CUST00034"/>
    <x v="4"/>
    <s v="West Bengal"/>
    <x v="1"/>
    <s v="Shoes"/>
    <s v="Shoes Lite"/>
    <n v="1"/>
    <n v="1405"/>
    <n v="10"/>
    <n v="140.5"/>
    <n v="1264.5"/>
    <x v="0"/>
    <n v="3"/>
    <x v="0"/>
  </r>
  <r>
    <x v="491"/>
    <x v="491"/>
    <s v="CUST00140"/>
    <x v="6"/>
    <s v="Maharashtra"/>
    <x v="0"/>
    <s v="Curtains"/>
    <s v="Curtains Classic"/>
    <n v="3"/>
    <n v="2584"/>
    <n v="0"/>
    <n v="0"/>
    <n v="7752"/>
    <x v="0"/>
    <n v="2"/>
    <x v="0"/>
  </r>
  <r>
    <x v="492"/>
    <x v="492"/>
    <s v="CUST00069"/>
    <x v="0"/>
    <s v="Tamil Nadu"/>
    <x v="2"/>
    <s v="Mobile"/>
    <s v="Mobile Pro"/>
    <n v="1"/>
    <n v="2253"/>
    <n v="5"/>
    <n v="112.65"/>
    <n v="2140.35"/>
    <x v="0"/>
    <n v="3"/>
    <x v="0"/>
  </r>
  <r>
    <x v="493"/>
    <x v="493"/>
    <s v="CUST00267"/>
    <x v="7"/>
    <s v="Tamil Nadu"/>
    <x v="3"/>
    <s v="Shampoo"/>
    <s v="Shampoo Max"/>
    <n v="1"/>
    <n v="1260"/>
    <n v="15"/>
    <n v="189"/>
    <n v="1071"/>
    <x v="3"/>
    <n v="1"/>
    <x v="0"/>
  </r>
  <r>
    <x v="494"/>
    <x v="494"/>
    <s v="CUST00221"/>
    <x v="2"/>
    <s v="Karnataka"/>
    <x v="3"/>
    <s v="Perfume"/>
    <s v="Perfume Max"/>
    <n v="2"/>
    <n v="217"/>
    <n v="5"/>
    <n v="21.7"/>
    <n v="412.3"/>
    <x v="2"/>
    <n v="3"/>
    <x v="0"/>
  </r>
  <r>
    <x v="495"/>
    <x v="495"/>
    <s v="CUST00221"/>
    <x v="9"/>
    <s v="Maharashtra"/>
    <x v="0"/>
    <s v="Curtains"/>
    <s v="Curtains Plus"/>
    <n v="2"/>
    <n v="5707"/>
    <n v="5"/>
    <n v="570.70000000000005"/>
    <n v="10843.3"/>
    <x v="3"/>
    <n v="3"/>
    <x v="0"/>
  </r>
  <r>
    <x v="496"/>
    <x v="496"/>
    <s v="CUST00260"/>
    <x v="0"/>
    <s v="Tamil Nadu"/>
    <x v="3"/>
    <s v="Lipstick"/>
    <s v="Lipstick Plus"/>
    <n v="1"/>
    <n v="732"/>
    <n v="0"/>
    <n v="0"/>
    <n v="732"/>
    <x v="4"/>
    <n v="1"/>
    <x v="0"/>
  </r>
  <r>
    <x v="497"/>
    <x v="497"/>
    <s v="CUST00179"/>
    <x v="3"/>
    <s v="Tamil Nadu"/>
    <x v="2"/>
    <s v="Headphones"/>
    <s v="Headphones Plus"/>
    <n v="1"/>
    <n v="23119"/>
    <n v="10"/>
    <n v="2311.9"/>
    <n v="20807.099999999999"/>
    <x v="0"/>
    <n v="3"/>
    <x v="0"/>
  </r>
  <r>
    <x v="498"/>
    <x v="498"/>
    <s v="CUST00044"/>
    <x v="2"/>
    <s v="Karnataka"/>
    <x v="0"/>
    <s v="Bedsheet"/>
    <s v="Bedsheet Max"/>
    <n v="1"/>
    <n v="606"/>
    <n v="15"/>
    <n v="90.9"/>
    <n v="515.1"/>
    <x v="4"/>
    <n v="4"/>
    <x v="0"/>
  </r>
  <r>
    <x v="499"/>
    <x v="499"/>
    <s v="CUST00241"/>
    <x v="3"/>
    <s v="Tamil Nadu"/>
    <x v="2"/>
    <s v="Headphones"/>
    <s v="Headphones Plus"/>
    <n v="1"/>
    <n v="21630"/>
    <n v="10"/>
    <n v="2163"/>
    <n v="19467"/>
    <x v="0"/>
    <n v="2"/>
    <x v="0"/>
  </r>
  <r>
    <x v="500"/>
    <x v="500"/>
    <s v="CUST00174"/>
    <x v="9"/>
    <s v="Maharashtra"/>
    <x v="4"/>
    <s v="Oil"/>
    <s v="Oil Max"/>
    <n v="3"/>
    <n v="204"/>
    <n v="15"/>
    <n v="91.8"/>
    <n v="520.20000000000005"/>
    <x v="3"/>
    <n v="2"/>
    <x v="0"/>
  </r>
  <r>
    <x v="501"/>
    <x v="501"/>
    <s v="CUST00153"/>
    <x v="3"/>
    <s v="Tamil Nadu"/>
    <x v="3"/>
    <s v="Shampoo"/>
    <s v="Shampoo Classic"/>
    <n v="2"/>
    <n v="839"/>
    <n v="0"/>
    <n v="0"/>
    <n v="1678"/>
    <x v="2"/>
    <n v="6"/>
    <x v="1"/>
  </r>
  <r>
    <x v="502"/>
    <x v="502"/>
    <s v="CUST00155"/>
    <x v="1"/>
    <s v="Tamil Nadu"/>
    <x v="0"/>
    <s v="Curtains"/>
    <s v="Curtains Classic"/>
    <n v="1"/>
    <n v="2358"/>
    <n v="5"/>
    <n v="117.9"/>
    <n v="2240.1"/>
    <x v="2"/>
    <n v="4"/>
    <x v="1"/>
  </r>
  <r>
    <x v="503"/>
    <x v="503"/>
    <s v="CUST00265"/>
    <x v="9"/>
    <s v="Maharashtra"/>
    <x v="4"/>
    <s v="Spices"/>
    <s v="Spices Lite"/>
    <n v="1"/>
    <n v="1141"/>
    <n v="15"/>
    <n v="171.15"/>
    <n v="969.85"/>
    <x v="2"/>
    <n v="5"/>
    <x v="0"/>
  </r>
  <r>
    <x v="504"/>
    <x v="504"/>
    <s v="CUST00031"/>
    <x v="1"/>
    <s v="Tamil Nadu"/>
    <x v="1"/>
    <s v="Shoes"/>
    <s v="Shoes Plus"/>
    <n v="1"/>
    <n v="2859"/>
    <n v="5"/>
    <n v="142.94999999999999"/>
    <n v="2716.05"/>
    <x v="2"/>
    <n v="3"/>
    <x v="1"/>
  </r>
  <r>
    <x v="505"/>
    <x v="505"/>
    <s v="CUST00137"/>
    <x v="8"/>
    <s v="Telangana"/>
    <x v="1"/>
    <s v="Shoes"/>
    <s v="Shoes Classic"/>
    <n v="1"/>
    <n v="1330"/>
    <n v="0"/>
    <n v="0"/>
    <n v="1330"/>
    <x v="2"/>
    <n v="3"/>
    <x v="0"/>
  </r>
  <r>
    <x v="506"/>
    <x v="506"/>
    <s v="CUST00217"/>
    <x v="0"/>
    <s v="Tamil Nadu"/>
    <x v="1"/>
    <s v="Jeans"/>
    <s v="Jeans Max"/>
    <n v="1"/>
    <n v="2675"/>
    <n v="10"/>
    <n v="267.5"/>
    <n v="2407.5"/>
    <x v="0"/>
    <n v="3"/>
    <x v="0"/>
  </r>
  <r>
    <x v="507"/>
    <x v="507"/>
    <s v="CUST00029"/>
    <x v="2"/>
    <s v="Karnataka"/>
    <x v="0"/>
    <s v="Dinner Set"/>
    <s v="Dinner Set Max"/>
    <n v="2"/>
    <n v="5802"/>
    <n v="5"/>
    <n v="580.20000000000005"/>
    <n v="11023.8"/>
    <x v="2"/>
    <n v="5"/>
    <x v="0"/>
  </r>
  <r>
    <x v="508"/>
    <x v="508"/>
    <s v="CUST00257"/>
    <x v="2"/>
    <s v="Karnataka"/>
    <x v="4"/>
    <s v="Snacks"/>
    <s v="Snacks Classic"/>
    <n v="1"/>
    <n v="691"/>
    <n v="5"/>
    <n v="34.549999999999997"/>
    <n v="656.45"/>
    <x v="4"/>
    <n v="2"/>
    <x v="0"/>
  </r>
  <r>
    <x v="509"/>
    <x v="509"/>
    <s v="CUST00217"/>
    <x v="5"/>
    <s v="Delhi"/>
    <x v="1"/>
    <s v="T-Shirt"/>
    <s v="T-Shirt Lite"/>
    <n v="1"/>
    <n v="4000"/>
    <n v="0"/>
    <n v="0"/>
    <n v="4000"/>
    <x v="3"/>
    <n v="3"/>
    <x v="0"/>
  </r>
  <r>
    <x v="510"/>
    <x v="510"/>
    <s v="CUST00163"/>
    <x v="1"/>
    <s v="Tamil Nadu"/>
    <x v="3"/>
    <s v="Perfume"/>
    <s v="Perfume Lite"/>
    <n v="3"/>
    <n v="1615"/>
    <n v="15"/>
    <n v="726.75"/>
    <n v="4118.25"/>
    <x v="0"/>
    <n v="5"/>
    <x v="0"/>
  </r>
  <r>
    <x v="511"/>
    <x v="511"/>
    <s v="CUST00018"/>
    <x v="0"/>
    <s v="Tamil Nadu"/>
    <x v="1"/>
    <s v="Shoes"/>
    <s v="Shoes Classic"/>
    <n v="1"/>
    <n v="1399"/>
    <n v="15"/>
    <n v="209.85"/>
    <n v="1189.1500000000001"/>
    <x v="3"/>
    <n v="4"/>
    <x v="0"/>
  </r>
  <r>
    <x v="512"/>
    <x v="512"/>
    <s v="CUST00131"/>
    <x v="8"/>
    <s v="Telangana"/>
    <x v="2"/>
    <s v="Laptop"/>
    <s v="Laptop Max"/>
    <n v="1"/>
    <n v="11000"/>
    <n v="5"/>
    <n v="550"/>
    <n v="10450"/>
    <x v="0"/>
    <n v="4"/>
    <x v="0"/>
  </r>
  <r>
    <x v="513"/>
    <x v="513"/>
    <s v="CUST00242"/>
    <x v="6"/>
    <s v="Maharashtra"/>
    <x v="0"/>
    <s v="Curtains"/>
    <s v="Curtains Pro"/>
    <n v="2"/>
    <n v="843"/>
    <n v="10"/>
    <n v="168.6"/>
    <n v="1517.4"/>
    <x v="2"/>
    <n v="4"/>
    <x v="0"/>
  </r>
  <r>
    <x v="514"/>
    <x v="514"/>
    <s v="CUST00027"/>
    <x v="9"/>
    <s v="Maharashtra"/>
    <x v="3"/>
    <s v="Shampoo"/>
    <s v="Shampoo Pro"/>
    <n v="1"/>
    <n v="318"/>
    <n v="0"/>
    <n v="0"/>
    <n v="318"/>
    <x v="3"/>
    <n v="5"/>
    <x v="0"/>
  </r>
  <r>
    <x v="515"/>
    <x v="515"/>
    <s v="CUST00067"/>
    <x v="3"/>
    <s v="Tamil Nadu"/>
    <x v="3"/>
    <s v="Lipstick"/>
    <s v="Lipstick Plus"/>
    <n v="1"/>
    <n v="1557"/>
    <n v="15"/>
    <n v="233.55"/>
    <n v="1323.45"/>
    <x v="2"/>
    <n v="4"/>
    <x v="0"/>
  </r>
  <r>
    <x v="516"/>
    <x v="516"/>
    <s v="CUST00202"/>
    <x v="6"/>
    <s v="Maharashtra"/>
    <x v="4"/>
    <s v="Dal"/>
    <s v="Dal Pro"/>
    <n v="3"/>
    <n v="997"/>
    <n v="0"/>
    <n v="0"/>
    <n v="2991"/>
    <x v="2"/>
    <n v="2"/>
    <x v="0"/>
  </r>
  <r>
    <x v="517"/>
    <x v="517"/>
    <s v="CUST00134"/>
    <x v="9"/>
    <s v="Maharashtra"/>
    <x v="2"/>
    <s v="Headphones"/>
    <s v="Headphones Lite"/>
    <n v="3"/>
    <n v="8190"/>
    <n v="10"/>
    <n v="2457"/>
    <n v="22113"/>
    <x v="2"/>
    <n v="5"/>
    <x v="0"/>
  </r>
  <r>
    <x v="518"/>
    <x v="518"/>
    <s v="CUST00105"/>
    <x v="5"/>
    <s v="Delhi"/>
    <x v="0"/>
    <s v="Cooker"/>
    <s v="Cooker Plus"/>
    <n v="1"/>
    <n v="5215"/>
    <n v="10"/>
    <n v="521.5"/>
    <n v="4693.5"/>
    <x v="0"/>
    <n v="2"/>
    <x v="0"/>
  </r>
  <r>
    <x v="519"/>
    <x v="519"/>
    <s v="CUST00015"/>
    <x v="8"/>
    <s v="Telangana"/>
    <x v="0"/>
    <s v="Mixer"/>
    <s v="Mixer Classic"/>
    <n v="1"/>
    <n v="5075"/>
    <n v="5"/>
    <n v="253.75"/>
    <n v="4821.25"/>
    <x v="0"/>
    <n v="1"/>
    <x v="0"/>
  </r>
  <r>
    <x v="520"/>
    <x v="520"/>
    <s v="CUST00204"/>
    <x v="5"/>
    <s v="Delhi"/>
    <x v="3"/>
    <s v="Perfume"/>
    <s v="Perfume Classic"/>
    <n v="1"/>
    <n v="256"/>
    <n v="15"/>
    <n v="38.4"/>
    <n v="217.6"/>
    <x v="3"/>
    <n v="2"/>
    <x v="0"/>
  </r>
  <r>
    <x v="521"/>
    <x v="521"/>
    <s v="CUST00024"/>
    <x v="0"/>
    <s v="Tamil Nadu"/>
    <x v="0"/>
    <s v="Dinner Set"/>
    <s v="Dinner Set Classic"/>
    <n v="1"/>
    <n v="1383"/>
    <n v="0"/>
    <n v="0"/>
    <n v="1383"/>
    <x v="0"/>
    <n v="2"/>
    <x v="0"/>
  </r>
  <r>
    <x v="522"/>
    <x v="522"/>
    <s v="CUST00174"/>
    <x v="7"/>
    <s v="Tamil Nadu"/>
    <x v="1"/>
    <s v="T-Shirt"/>
    <s v="T-Shirt Max"/>
    <n v="2"/>
    <n v="1561"/>
    <n v="0"/>
    <n v="0"/>
    <n v="3122"/>
    <x v="0"/>
    <n v="4"/>
    <x v="0"/>
  </r>
  <r>
    <x v="523"/>
    <x v="523"/>
    <s v="CUST00221"/>
    <x v="8"/>
    <s v="Telangana"/>
    <x v="0"/>
    <s v="Dinner Set"/>
    <s v="Dinner Set Max"/>
    <n v="1"/>
    <n v="2884"/>
    <n v="10"/>
    <n v="288.39999999999998"/>
    <n v="2595.6"/>
    <x v="0"/>
    <n v="4"/>
    <x v="0"/>
  </r>
  <r>
    <x v="524"/>
    <x v="524"/>
    <s v="CUST00226"/>
    <x v="0"/>
    <s v="Tamil Nadu"/>
    <x v="1"/>
    <s v="Jeans"/>
    <s v="Jeans Pro"/>
    <n v="1"/>
    <n v="4252"/>
    <n v="5"/>
    <n v="212.6"/>
    <n v="4039.4"/>
    <x v="0"/>
    <n v="4"/>
    <x v="0"/>
  </r>
  <r>
    <x v="525"/>
    <x v="525"/>
    <s v="CUST00021"/>
    <x v="7"/>
    <s v="Tamil Nadu"/>
    <x v="0"/>
    <s v="Dinner Set"/>
    <s v="Dinner Set Plus"/>
    <n v="1"/>
    <n v="1312"/>
    <n v="0"/>
    <n v="0"/>
    <n v="1312"/>
    <x v="0"/>
    <n v="4"/>
    <x v="0"/>
  </r>
  <r>
    <x v="526"/>
    <x v="526"/>
    <s v="CUST00140"/>
    <x v="3"/>
    <s v="Tamil Nadu"/>
    <x v="4"/>
    <s v="Dal"/>
    <s v="Dal Classic"/>
    <n v="3"/>
    <n v="419"/>
    <n v="5"/>
    <n v="62.85"/>
    <n v="1194.1500000000001"/>
    <x v="0"/>
    <n v="3"/>
    <x v="0"/>
  </r>
  <r>
    <x v="527"/>
    <x v="527"/>
    <s v="CUST00049"/>
    <x v="4"/>
    <s v="West Bengal"/>
    <x v="2"/>
    <s v="Headphones"/>
    <s v="Headphones Pro"/>
    <n v="1"/>
    <n v="39188"/>
    <n v="0"/>
    <n v="0"/>
    <n v="39188"/>
    <x v="3"/>
    <n v="3"/>
    <x v="0"/>
  </r>
  <r>
    <x v="528"/>
    <x v="528"/>
    <s v="CUST00233"/>
    <x v="8"/>
    <s v="Telangana"/>
    <x v="4"/>
    <s v="Rice"/>
    <s v="Rice Max"/>
    <n v="3"/>
    <n v="1215"/>
    <n v="0"/>
    <n v="0"/>
    <n v="3645"/>
    <x v="2"/>
    <n v="5"/>
    <x v="0"/>
  </r>
  <r>
    <x v="529"/>
    <x v="529"/>
    <s v="CUST00037"/>
    <x v="1"/>
    <s v="Tamil Nadu"/>
    <x v="4"/>
    <s v="Spices"/>
    <s v="Spices Pro"/>
    <n v="1"/>
    <n v="866"/>
    <n v="0"/>
    <n v="0"/>
    <n v="866"/>
    <x v="2"/>
    <n v="4"/>
    <x v="0"/>
  </r>
  <r>
    <x v="530"/>
    <x v="530"/>
    <s v="CUST00079"/>
    <x v="2"/>
    <s v="Karnataka"/>
    <x v="0"/>
    <s v="Curtains"/>
    <s v="Curtains Plus"/>
    <n v="2"/>
    <n v="3241"/>
    <n v="15"/>
    <n v="972.3"/>
    <n v="5509.7"/>
    <x v="3"/>
    <n v="2"/>
    <x v="0"/>
  </r>
  <r>
    <x v="531"/>
    <x v="531"/>
    <s v="CUST00244"/>
    <x v="8"/>
    <s v="Telangana"/>
    <x v="4"/>
    <s v="Snacks"/>
    <s v="Snacks Plus"/>
    <n v="1"/>
    <n v="939"/>
    <n v="10"/>
    <n v="93.9"/>
    <n v="845.1"/>
    <x v="0"/>
    <n v="3"/>
    <x v="0"/>
  </r>
  <r>
    <x v="532"/>
    <x v="532"/>
    <s v="CUST00115"/>
    <x v="9"/>
    <s v="Maharashtra"/>
    <x v="3"/>
    <s v="Moisturizer"/>
    <s v="Moisturizer Classic"/>
    <n v="1"/>
    <n v="1791"/>
    <n v="5"/>
    <n v="89.55"/>
    <n v="1701.45"/>
    <x v="1"/>
    <n v="3"/>
    <x v="0"/>
  </r>
  <r>
    <x v="533"/>
    <x v="533"/>
    <s v="CUST00128"/>
    <x v="1"/>
    <s v="Tamil Nadu"/>
    <x v="3"/>
    <s v="Lipstick"/>
    <s v="Lipstick Classic"/>
    <n v="1"/>
    <n v="370"/>
    <n v="5"/>
    <n v="18.5"/>
    <n v="351.5"/>
    <x v="0"/>
    <n v="3"/>
    <x v="0"/>
  </r>
  <r>
    <x v="534"/>
    <x v="534"/>
    <s v="CUST00130"/>
    <x v="4"/>
    <s v="West Bengal"/>
    <x v="0"/>
    <s v="Dinner Set"/>
    <s v="Dinner Set Pro"/>
    <n v="2"/>
    <n v="6366"/>
    <n v="0"/>
    <n v="0"/>
    <n v="12732"/>
    <x v="0"/>
    <n v="2"/>
    <x v="0"/>
  </r>
  <r>
    <x v="535"/>
    <x v="535"/>
    <s v="CUST00214"/>
    <x v="8"/>
    <s v="Telangana"/>
    <x v="0"/>
    <s v="Dinner Set"/>
    <s v="Dinner Set Plus"/>
    <n v="2"/>
    <n v="3096"/>
    <n v="0"/>
    <n v="0"/>
    <n v="6192"/>
    <x v="0"/>
    <n v="5"/>
    <x v="0"/>
  </r>
  <r>
    <x v="536"/>
    <x v="536"/>
    <s v="CUST00055"/>
    <x v="6"/>
    <s v="Maharashtra"/>
    <x v="4"/>
    <s v="Rice"/>
    <s v="Rice Pro"/>
    <n v="1"/>
    <n v="992"/>
    <n v="10"/>
    <n v="99.2"/>
    <n v="892.8"/>
    <x v="2"/>
    <n v="6"/>
    <x v="0"/>
  </r>
  <r>
    <x v="537"/>
    <x v="537"/>
    <s v="CUST00156"/>
    <x v="3"/>
    <s v="Tamil Nadu"/>
    <x v="4"/>
    <s v="Oil"/>
    <s v="Oil Plus"/>
    <n v="2"/>
    <n v="440"/>
    <n v="0"/>
    <n v="0"/>
    <n v="880"/>
    <x v="0"/>
    <n v="5"/>
    <x v="0"/>
  </r>
  <r>
    <x v="538"/>
    <x v="538"/>
    <s v="CUST00108"/>
    <x v="7"/>
    <s v="Tamil Nadu"/>
    <x v="1"/>
    <s v="Jeans"/>
    <s v="Jeans Plus"/>
    <n v="2"/>
    <n v="1963"/>
    <n v="0"/>
    <n v="0"/>
    <n v="3926"/>
    <x v="3"/>
    <n v="1"/>
    <x v="0"/>
  </r>
  <r>
    <x v="539"/>
    <x v="539"/>
    <s v="CUST00228"/>
    <x v="7"/>
    <s v="Tamil Nadu"/>
    <x v="3"/>
    <s v="Face Wash"/>
    <s v="Face Wash Plus"/>
    <n v="1"/>
    <n v="1848"/>
    <n v="0"/>
    <n v="0"/>
    <n v="1848"/>
    <x v="0"/>
    <n v="3"/>
    <x v="0"/>
  </r>
  <r>
    <x v="540"/>
    <x v="540"/>
    <s v="CUST00213"/>
    <x v="7"/>
    <s v="Tamil Nadu"/>
    <x v="4"/>
    <s v="Snacks"/>
    <s v="Snacks Classic"/>
    <n v="3"/>
    <n v="1101"/>
    <n v="5"/>
    <n v="165.15"/>
    <n v="3137.85"/>
    <x v="4"/>
    <n v="3"/>
    <x v="0"/>
  </r>
  <r>
    <x v="541"/>
    <x v="541"/>
    <s v="CUST00119"/>
    <x v="0"/>
    <s v="Tamil Nadu"/>
    <x v="4"/>
    <s v="Rice"/>
    <s v="Rice Plus"/>
    <n v="1"/>
    <n v="1377"/>
    <n v="5"/>
    <n v="68.849999999999994"/>
    <n v="1308.1500000000001"/>
    <x v="3"/>
    <n v="2"/>
    <x v="0"/>
  </r>
  <r>
    <x v="542"/>
    <x v="542"/>
    <s v="CUST00178"/>
    <x v="7"/>
    <s v="Tamil Nadu"/>
    <x v="3"/>
    <s v="Face Wash"/>
    <s v="Face Wash Lite"/>
    <n v="1"/>
    <n v="1047"/>
    <n v="5"/>
    <n v="52.35"/>
    <n v="994.65"/>
    <x v="4"/>
    <n v="3"/>
    <x v="0"/>
  </r>
  <r>
    <x v="543"/>
    <x v="543"/>
    <s v="CUST00240"/>
    <x v="9"/>
    <s v="Maharashtra"/>
    <x v="0"/>
    <s v="Curtains"/>
    <s v="Curtains Plus"/>
    <n v="2"/>
    <n v="6851"/>
    <n v="10"/>
    <n v="1370.2"/>
    <n v="12331.8"/>
    <x v="0"/>
    <n v="3"/>
    <x v="0"/>
  </r>
  <r>
    <x v="544"/>
    <x v="544"/>
    <s v="CUST00248"/>
    <x v="9"/>
    <s v="Maharashtra"/>
    <x v="1"/>
    <s v="Jeans"/>
    <s v="Jeans Lite"/>
    <n v="1"/>
    <n v="3807"/>
    <n v="0"/>
    <n v="0"/>
    <n v="3807"/>
    <x v="0"/>
    <n v="1"/>
    <x v="0"/>
  </r>
  <r>
    <x v="545"/>
    <x v="545"/>
    <s v="CUST00082"/>
    <x v="9"/>
    <s v="Maharashtra"/>
    <x v="4"/>
    <s v="Rice"/>
    <s v="Rice Pro"/>
    <n v="1"/>
    <n v="508"/>
    <n v="5"/>
    <n v="25.4"/>
    <n v="482.6"/>
    <x v="1"/>
    <n v="3"/>
    <x v="0"/>
  </r>
  <r>
    <x v="546"/>
    <x v="546"/>
    <s v="CUST00286"/>
    <x v="8"/>
    <s v="Telangana"/>
    <x v="1"/>
    <s v="Handbag"/>
    <s v="Handbag Classic"/>
    <n v="1"/>
    <n v="3986"/>
    <n v="20"/>
    <n v="797.2"/>
    <n v="3188.8"/>
    <x v="2"/>
    <n v="4"/>
    <x v="0"/>
  </r>
  <r>
    <x v="547"/>
    <x v="547"/>
    <s v="CUST00288"/>
    <x v="0"/>
    <s v="Tamil Nadu"/>
    <x v="4"/>
    <s v="Rice"/>
    <s v="Rice Lite"/>
    <n v="1"/>
    <n v="648"/>
    <n v="10"/>
    <n v="64.8"/>
    <n v="583.20000000000005"/>
    <x v="2"/>
    <n v="3"/>
    <x v="0"/>
  </r>
  <r>
    <x v="548"/>
    <x v="548"/>
    <s v="CUST00187"/>
    <x v="4"/>
    <s v="West Bengal"/>
    <x v="1"/>
    <s v="T-Shirt"/>
    <s v="T-Shirt Lite"/>
    <n v="1"/>
    <n v="453"/>
    <n v="5"/>
    <n v="22.65"/>
    <n v="430.35"/>
    <x v="3"/>
    <n v="1"/>
    <x v="0"/>
  </r>
  <r>
    <x v="549"/>
    <x v="549"/>
    <s v="CUST00213"/>
    <x v="4"/>
    <s v="West Bengal"/>
    <x v="1"/>
    <s v="Jeans"/>
    <s v="Jeans Classic"/>
    <n v="1"/>
    <n v="1530"/>
    <n v="15"/>
    <n v="229.5"/>
    <n v="1300.5"/>
    <x v="2"/>
    <n v="6"/>
    <x v="0"/>
  </r>
  <r>
    <x v="550"/>
    <x v="550"/>
    <s v="CUST00186"/>
    <x v="0"/>
    <s v="Tamil Nadu"/>
    <x v="3"/>
    <s v="Shampoo"/>
    <s v="Shampoo Pro"/>
    <n v="2"/>
    <n v="842"/>
    <n v="5"/>
    <n v="84.2"/>
    <n v="1599.8"/>
    <x v="2"/>
    <n v="3"/>
    <x v="0"/>
  </r>
  <r>
    <x v="551"/>
    <x v="551"/>
    <s v="CUST00078"/>
    <x v="3"/>
    <s v="Tamil Nadu"/>
    <x v="2"/>
    <s v="Power Bank"/>
    <s v="Power Bank Max"/>
    <n v="1"/>
    <n v="36781"/>
    <n v="15"/>
    <n v="5517.15"/>
    <n v="31263.85"/>
    <x v="0"/>
    <n v="2"/>
    <x v="0"/>
  </r>
  <r>
    <x v="552"/>
    <x v="552"/>
    <s v="CUST00076"/>
    <x v="6"/>
    <s v="Maharashtra"/>
    <x v="3"/>
    <s v="Shampoo"/>
    <s v="Shampoo Classic"/>
    <n v="1"/>
    <n v="1812"/>
    <n v="5"/>
    <n v="90.6"/>
    <n v="1721.4"/>
    <x v="0"/>
    <n v="2"/>
    <x v="0"/>
  </r>
  <r>
    <x v="553"/>
    <x v="553"/>
    <s v="CUST00276"/>
    <x v="4"/>
    <s v="West Bengal"/>
    <x v="3"/>
    <s v="Shampoo"/>
    <s v="Shampoo Classic"/>
    <n v="3"/>
    <n v="1197"/>
    <n v="5"/>
    <n v="179.55"/>
    <n v="3411.45"/>
    <x v="0"/>
    <n v="3"/>
    <x v="0"/>
  </r>
  <r>
    <x v="554"/>
    <x v="554"/>
    <s v="CUST00015"/>
    <x v="1"/>
    <s v="Tamil Nadu"/>
    <x v="4"/>
    <s v="Oil"/>
    <s v="Oil Lite"/>
    <n v="2"/>
    <n v="172"/>
    <n v="15"/>
    <n v="51.6"/>
    <n v="292.39999999999998"/>
    <x v="0"/>
    <n v="3"/>
    <x v="0"/>
  </r>
  <r>
    <x v="555"/>
    <x v="555"/>
    <s v="CUST00025"/>
    <x v="2"/>
    <s v="Karnataka"/>
    <x v="3"/>
    <s v="Lipstick"/>
    <s v="Lipstick Classic"/>
    <n v="2"/>
    <n v="1799"/>
    <n v="5"/>
    <n v="179.9"/>
    <n v="3418.1"/>
    <x v="2"/>
    <n v="4"/>
    <x v="0"/>
  </r>
  <r>
    <x v="556"/>
    <x v="556"/>
    <s v="CUST00120"/>
    <x v="4"/>
    <s v="West Bengal"/>
    <x v="0"/>
    <s v="Cooker"/>
    <s v="Cooker Classic"/>
    <n v="1"/>
    <n v="6341"/>
    <n v="5"/>
    <n v="317.05"/>
    <n v="6023.95"/>
    <x v="4"/>
    <n v="4"/>
    <x v="0"/>
  </r>
  <r>
    <x v="557"/>
    <x v="557"/>
    <s v="CUST00233"/>
    <x v="2"/>
    <s v="Karnataka"/>
    <x v="1"/>
    <s v="Watch"/>
    <s v="Watch Plus"/>
    <n v="1"/>
    <n v="3880"/>
    <n v="0"/>
    <n v="0"/>
    <n v="3880"/>
    <x v="0"/>
    <n v="3"/>
    <x v="0"/>
  </r>
  <r>
    <x v="558"/>
    <x v="558"/>
    <s v="CUST00287"/>
    <x v="1"/>
    <s v="Tamil Nadu"/>
    <x v="3"/>
    <s v="Lipstick"/>
    <s v="Lipstick Classic"/>
    <n v="1"/>
    <n v="1152"/>
    <n v="15"/>
    <n v="172.8"/>
    <n v="979.2"/>
    <x v="0"/>
    <n v="1"/>
    <x v="0"/>
  </r>
  <r>
    <x v="559"/>
    <x v="559"/>
    <s v="CUST00235"/>
    <x v="9"/>
    <s v="Maharashtra"/>
    <x v="4"/>
    <s v="Snacks"/>
    <s v="Snacks Pro"/>
    <n v="1"/>
    <n v="371"/>
    <n v="15"/>
    <n v="55.65"/>
    <n v="315.35000000000002"/>
    <x v="3"/>
    <n v="5"/>
    <x v="0"/>
  </r>
  <r>
    <x v="560"/>
    <x v="560"/>
    <s v="CUST00210"/>
    <x v="2"/>
    <s v="Karnataka"/>
    <x v="2"/>
    <s v="Headphones"/>
    <s v="Headphones Classic"/>
    <n v="1"/>
    <n v="34760"/>
    <n v="20"/>
    <n v="6952"/>
    <n v="27808"/>
    <x v="0"/>
    <n v="2"/>
    <x v="0"/>
  </r>
  <r>
    <x v="561"/>
    <x v="561"/>
    <s v="CUST00073"/>
    <x v="3"/>
    <s v="Tamil Nadu"/>
    <x v="3"/>
    <s v="Face Wash"/>
    <s v="Face Wash Max"/>
    <n v="2"/>
    <n v="1664"/>
    <n v="0"/>
    <n v="0"/>
    <n v="3328"/>
    <x v="3"/>
    <n v="1"/>
    <x v="0"/>
  </r>
  <r>
    <x v="562"/>
    <x v="562"/>
    <s v="CUST00214"/>
    <x v="7"/>
    <s v="Tamil Nadu"/>
    <x v="4"/>
    <s v="Oil"/>
    <s v="Oil Classic"/>
    <n v="1"/>
    <n v="1290"/>
    <n v="0"/>
    <n v="0"/>
    <n v="1290"/>
    <x v="0"/>
    <n v="3"/>
    <x v="0"/>
  </r>
  <r>
    <x v="563"/>
    <x v="563"/>
    <s v="CUST00230"/>
    <x v="9"/>
    <s v="Maharashtra"/>
    <x v="0"/>
    <s v="Bedsheet"/>
    <s v="Bedsheet Classic"/>
    <n v="1"/>
    <n v="2207"/>
    <n v="5"/>
    <n v="110.35"/>
    <n v="2096.65"/>
    <x v="0"/>
    <n v="3"/>
    <x v="0"/>
  </r>
  <r>
    <x v="564"/>
    <x v="564"/>
    <s v="CUST00143"/>
    <x v="2"/>
    <s v="Karnataka"/>
    <x v="1"/>
    <s v="T-Shirt"/>
    <s v="T-Shirt Classic"/>
    <n v="1"/>
    <n v="4996"/>
    <n v="5"/>
    <n v="249.8"/>
    <n v="4746.2"/>
    <x v="0"/>
    <n v="3"/>
    <x v="0"/>
  </r>
  <r>
    <x v="565"/>
    <x v="565"/>
    <s v="CUST00028"/>
    <x v="3"/>
    <s v="Tamil Nadu"/>
    <x v="4"/>
    <s v="Dal"/>
    <s v="Dal Plus"/>
    <n v="1"/>
    <n v="418"/>
    <n v="20"/>
    <n v="83.6"/>
    <n v="334.4"/>
    <x v="0"/>
    <n v="2"/>
    <x v="0"/>
  </r>
  <r>
    <x v="566"/>
    <x v="566"/>
    <s v="CUST00297"/>
    <x v="7"/>
    <s v="Tamil Nadu"/>
    <x v="2"/>
    <s v="Power Bank"/>
    <s v="Power Bank Classic"/>
    <n v="1"/>
    <n v="39093"/>
    <n v="5"/>
    <n v="1954.65"/>
    <n v="37138.35"/>
    <x v="0"/>
    <n v="1"/>
    <x v="0"/>
  </r>
  <r>
    <x v="567"/>
    <x v="567"/>
    <s v="CUST00163"/>
    <x v="6"/>
    <s v="Maharashtra"/>
    <x v="0"/>
    <s v="Bedsheet"/>
    <s v="Bedsheet Pro"/>
    <n v="3"/>
    <n v="2637"/>
    <n v="0"/>
    <n v="0"/>
    <n v="7911"/>
    <x v="0"/>
    <n v="2"/>
    <x v="0"/>
  </r>
  <r>
    <x v="568"/>
    <x v="568"/>
    <s v="CUST00087"/>
    <x v="0"/>
    <s v="Tamil Nadu"/>
    <x v="4"/>
    <s v="Oil"/>
    <s v="Oil Lite"/>
    <n v="1"/>
    <n v="705"/>
    <n v="0"/>
    <n v="0"/>
    <n v="705"/>
    <x v="2"/>
    <n v="3"/>
    <x v="0"/>
  </r>
  <r>
    <x v="569"/>
    <x v="569"/>
    <s v="CUST00027"/>
    <x v="5"/>
    <s v="Delhi"/>
    <x v="1"/>
    <s v="Handbag"/>
    <s v="Handbag Classic"/>
    <n v="1"/>
    <n v="4532"/>
    <n v="0"/>
    <n v="0"/>
    <n v="4532"/>
    <x v="3"/>
    <n v="2"/>
    <x v="0"/>
  </r>
  <r>
    <x v="570"/>
    <x v="570"/>
    <s v="CUST00015"/>
    <x v="6"/>
    <s v="Maharashtra"/>
    <x v="1"/>
    <s v="T-Shirt"/>
    <s v="T-Shirt Max"/>
    <n v="1"/>
    <n v="1231"/>
    <n v="10"/>
    <n v="123.1"/>
    <n v="1107.9000000000001"/>
    <x v="0"/>
    <n v="3"/>
    <x v="0"/>
  </r>
  <r>
    <x v="571"/>
    <x v="571"/>
    <s v="CUST00043"/>
    <x v="1"/>
    <s v="Tamil Nadu"/>
    <x v="1"/>
    <s v="Jeans"/>
    <s v="Jeans Max"/>
    <n v="1"/>
    <n v="2408"/>
    <n v="5"/>
    <n v="120.4"/>
    <n v="2287.6"/>
    <x v="0"/>
    <n v="2"/>
    <x v="0"/>
  </r>
  <r>
    <x v="572"/>
    <x v="572"/>
    <s v="CUST00149"/>
    <x v="9"/>
    <s v="Maharashtra"/>
    <x v="2"/>
    <s v="Mobile"/>
    <s v="Mobile Plus"/>
    <n v="1"/>
    <n v="16942"/>
    <n v="0"/>
    <n v="0"/>
    <n v="16942"/>
    <x v="2"/>
    <n v="3"/>
    <x v="0"/>
  </r>
  <r>
    <x v="573"/>
    <x v="573"/>
    <s v="CUST00289"/>
    <x v="2"/>
    <s v="Karnataka"/>
    <x v="0"/>
    <s v="Bedsheet"/>
    <s v="Bedsheet Plus"/>
    <n v="1"/>
    <n v="2589"/>
    <n v="0"/>
    <n v="0"/>
    <n v="2589"/>
    <x v="3"/>
    <n v="4"/>
    <x v="0"/>
  </r>
  <r>
    <x v="574"/>
    <x v="574"/>
    <s v="CUST00176"/>
    <x v="8"/>
    <s v="Telangana"/>
    <x v="3"/>
    <s v="Lipstick"/>
    <s v="Lipstick Lite"/>
    <n v="1"/>
    <n v="1091"/>
    <n v="5"/>
    <n v="54.55"/>
    <n v="1036.45"/>
    <x v="2"/>
    <n v="2"/>
    <x v="0"/>
  </r>
  <r>
    <x v="575"/>
    <x v="575"/>
    <s v="CUST00244"/>
    <x v="0"/>
    <s v="Tamil Nadu"/>
    <x v="2"/>
    <s v="Laptop"/>
    <s v="Laptop Plus"/>
    <n v="1"/>
    <n v="32545"/>
    <n v="10"/>
    <n v="3254.5"/>
    <n v="29290.5"/>
    <x v="3"/>
    <n v="4"/>
    <x v="0"/>
  </r>
  <r>
    <x v="576"/>
    <x v="576"/>
    <s v="CUST00228"/>
    <x v="2"/>
    <s v="Karnataka"/>
    <x v="0"/>
    <s v="Curtains"/>
    <s v="Curtains Classic"/>
    <n v="1"/>
    <n v="1322"/>
    <n v="15"/>
    <n v="198.3"/>
    <n v="1123.7"/>
    <x v="3"/>
    <n v="2"/>
    <x v="0"/>
  </r>
  <r>
    <x v="577"/>
    <x v="577"/>
    <s v="CUST00144"/>
    <x v="4"/>
    <s v="West Bengal"/>
    <x v="1"/>
    <s v="T-Shirt"/>
    <s v="T-Shirt Classic"/>
    <n v="1"/>
    <n v="2319"/>
    <n v="0"/>
    <n v="0"/>
    <n v="2319"/>
    <x v="2"/>
    <n v="4"/>
    <x v="0"/>
  </r>
  <r>
    <x v="578"/>
    <x v="578"/>
    <s v="CUST00203"/>
    <x v="2"/>
    <s v="Karnataka"/>
    <x v="0"/>
    <s v="Dinner Set"/>
    <s v="Dinner Set Classic"/>
    <n v="1"/>
    <n v="5705"/>
    <n v="10"/>
    <n v="570.5"/>
    <n v="5134.5"/>
    <x v="4"/>
    <n v="2"/>
    <x v="0"/>
  </r>
  <r>
    <x v="579"/>
    <x v="579"/>
    <s v="CUST00066"/>
    <x v="2"/>
    <s v="Karnataka"/>
    <x v="1"/>
    <s v="Shoes"/>
    <s v="Shoes Classic"/>
    <n v="2"/>
    <n v="2647"/>
    <n v="0"/>
    <n v="0"/>
    <n v="5294"/>
    <x v="1"/>
    <n v="3"/>
    <x v="0"/>
  </r>
  <r>
    <x v="580"/>
    <x v="580"/>
    <s v="CUST00130"/>
    <x v="1"/>
    <s v="Tamil Nadu"/>
    <x v="3"/>
    <s v="Face Wash"/>
    <s v="Face Wash Plus"/>
    <n v="1"/>
    <n v="1879"/>
    <n v="0"/>
    <n v="0"/>
    <n v="1879"/>
    <x v="4"/>
    <n v="2"/>
    <x v="0"/>
  </r>
  <r>
    <x v="581"/>
    <x v="581"/>
    <s v="CUST00265"/>
    <x v="0"/>
    <s v="Tamil Nadu"/>
    <x v="1"/>
    <s v="T-Shirt"/>
    <s v="T-Shirt Max"/>
    <n v="3"/>
    <n v="4077"/>
    <n v="0"/>
    <n v="0"/>
    <n v="12231"/>
    <x v="0"/>
    <n v="3"/>
    <x v="0"/>
  </r>
  <r>
    <x v="582"/>
    <x v="582"/>
    <s v="CUST00116"/>
    <x v="6"/>
    <s v="Maharashtra"/>
    <x v="2"/>
    <s v="Laptop"/>
    <s v="Laptop Lite"/>
    <n v="1"/>
    <n v="20868"/>
    <n v="0"/>
    <n v="0"/>
    <n v="20868"/>
    <x v="3"/>
    <n v="1"/>
    <x v="0"/>
  </r>
  <r>
    <x v="583"/>
    <x v="583"/>
    <s v="CUST00172"/>
    <x v="8"/>
    <s v="Telangana"/>
    <x v="1"/>
    <s v="T-Shirt"/>
    <s v="T-Shirt Plus"/>
    <n v="1"/>
    <n v="845"/>
    <n v="10"/>
    <n v="84.5"/>
    <n v="760.5"/>
    <x v="2"/>
    <n v="4"/>
    <x v="0"/>
  </r>
  <r>
    <x v="584"/>
    <x v="584"/>
    <s v="CUST00229"/>
    <x v="3"/>
    <s v="Tamil Nadu"/>
    <x v="2"/>
    <s v="Mobile"/>
    <s v="Mobile Pro"/>
    <n v="3"/>
    <n v="25232"/>
    <n v="0"/>
    <n v="0"/>
    <n v="75696"/>
    <x v="0"/>
    <n v="4"/>
    <x v="0"/>
  </r>
  <r>
    <x v="585"/>
    <x v="585"/>
    <s v="CUST00029"/>
    <x v="8"/>
    <s v="Telangana"/>
    <x v="4"/>
    <s v="Spices"/>
    <s v="Spices Pro"/>
    <n v="1"/>
    <n v="831"/>
    <n v="5"/>
    <n v="41.55"/>
    <n v="789.45"/>
    <x v="4"/>
    <n v="2"/>
    <x v="0"/>
  </r>
  <r>
    <x v="586"/>
    <x v="586"/>
    <s v="CUST00006"/>
    <x v="7"/>
    <s v="Tamil Nadu"/>
    <x v="3"/>
    <s v="Perfume"/>
    <s v="Perfume Plus"/>
    <n v="2"/>
    <n v="1533"/>
    <n v="5"/>
    <n v="153.30000000000001"/>
    <n v="2912.7"/>
    <x v="0"/>
    <n v="2"/>
    <x v="0"/>
  </r>
  <r>
    <x v="587"/>
    <x v="587"/>
    <s v="CUST00007"/>
    <x v="3"/>
    <s v="Tamil Nadu"/>
    <x v="2"/>
    <s v="Power Bank"/>
    <s v="Power Bank Lite"/>
    <n v="3"/>
    <n v="8756"/>
    <n v="5"/>
    <n v="1313.4"/>
    <n v="24954.6"/>
    <x v="4"/>
    <n v="2"/>
    <x v="0"/>
  </r>
  <r>
    <x v="588"/>
    <x v="588"/>
    <s v="CUST00023"/>
    <x v="0"/>
    <s v="Tamil Nadu"/>
    <x v="1"/>
    <s v="Shoes"/>
    <s v="Shoes Classic"/>
    <n v="1"/>
    <n v="2949"/>
    <n v="10"/>
    <n v="294.89999999999998"/>
    <n v="2654.1"/>
    <x v="0"/>
    <n v="2"/>
    <x v="0"/>
  </r>
  <r>
    <x v="589"/>
    <x v="589"/>
    <s v="CUST00150"/>
    <x v="4"/>
    <s v="West Bengal"/>
    <x v="2"/>
    <s v="Power Bank"/>
    <s v="Power Bank Classic"/>
    <n v="1"/>
    <n v="9976"/>
    <n v="15"/>
    <n v="1496.4"/>
    <n v="8479.6"/>
    <x v="3"/>
    <n v="2"/>
    <x v="0"/>
  </r>
  <r>
    <x v="590"/>
    <x v="590"/>
    <s v="CUST00104"/>
    <x v="2"/>
    <s v="Karnataka"/>
    <x v="0"/>
    <s v="Mixer"/>
    <s v="Mixer Plus"/>
    <n v="1"/>
    <n v="7279"/>
    <n v="20"/>
    <n v="1455.8"/>
    <n v="5823.2"/>
    <x v="4"/>
    <n v="2"/>
    <x v="0"/>
  </r>
  <r>
    <x v="591"/>
    <x v="591"/>
    <s v="CUST00054"/>
    <x v="7"/>
    <s v="Tamil Nadu"/>
    <x v="2"/>
    <s v="Smart Watch"/>
    <s v="Smart Watch Lite"/>
    <n v="3"/>
    <n v="15116"/>
    <n v="0"/>
    <n v="0"/>
    <n v="45348"/>
    <x v="2"/>
    <n v="8"/>
    <x v="0"/>
  </r>
  <r>
    <x v="592"/>
    <x v="592"/>
    <s v="CUST00106"/>
    <x v="6"/>
    <s v="Maharashtra"/>
    <x v="1"/>
    <s v="T-Shirt"/>
    <s v="T-Shirt Max"/>
    <n v="1"/>
    <n v="645"/>
    <n v="0"/>
    <n v="0"/>
    <n v="645"/>
    <x v="0"/>
    <n v="3"/>
    <x v="0"/>
  </r>
  <r>
    <x v="593"/>
    <x v="593"/>
    <s v="CUST00023"/>
    <x v="0"/>
    <s v="Tamil Nadu"/>
    <x v="1"/>
    <s v="Jeans"/>
    <s v="Jeans Max"/>
    <n v="1"/>
    <n v="1827"/>
    <n v="0"/>
    <n v="0"/>
    <n v="1827"/>
    <x v="0"/>
    <n v="2"/>
    <x v="0"/>
  </r>
  <r>
    <x v="594"/>
    <x v="594"/>
    <s v="CUST00011"/>
    <x v="9"/>
    <s v="Maharashtra"/>
    <x v="3"/>
    <s v="Face Wash"/>
    <s v="Face Wash Max"/>
    <n v="3"/>
    <n v="907"/>
    <n v="10"/>
    <n v="272.10000000000002"/>
    <n v="2448.9"/>
    <x v="2"/>
    <n v="6"/>
    <x v="0"/>
  </r>
  <r>
    <x v="595"/>
    <x v="595"/>
    <s v="CUST00034"/>
    <x v="2"/>
    <s v="Karnataka"/>
    <x v="1"/>
    <s v="Jeans"/>
    <s v="Jeans Lite"/>
    <n v="1"/>
    <n v="3465"/>
    <n v="20"/>
    <n v="693"/>
    <n v="2772"/>
    <x v="0"/>
    <n v="1"/>
    <x v="0"/>
  </r>
  <r>
    <x v="596"/>
    <x v="596"/>
    <s v="CUST00097"/>
    <x v="1"/>
    <s v="Tamil Nadu"/>
    <x v="0"/>
    <s v="Mixer"/>
    <s v="Mixer Max"/>
    <n v="1"/>
    <n v="7275"/>
    <n v="15"/>
    <n v="1091.25"/>
    <n v="6183.75"/>
    <x v="0"/>
    <n v="1"/>
    <x v="0"/>
  </r>
  <r>
    <x v="597"/>
    <x v="597"/>
    <s v="CUST00034"/>
    <x v="9"/>
    <s v="Maharashtra"/>
    <x v="4"/>
    <s v="Spices"/>
    <s v="Spices Classic"/>
    <n v="1"/>
    <n v="815"/>
    <n v="5"/>
    <n v="40.75"/>
    <n v="774.25"/>
    <x v="3"/>
    <n v="5"/>
    <x v="0"/>
  </r>
  <r>
    <x v="598"/>
    <x v="598"/>
    <s v="CUST00138"/>
    <x v="3"/>
    <s v="Tamil Nadu"/>
    <x v="3"/>
    <s v="Moisturizer"/>
    <s v="Moisturizer Pro"/>
    <n v="1"/>
    <n v="630"/>
    <n v="0"/>
    <n v="0"/>
    <n v="630"/>
    <x v="3"/>
    <n v="2"/>
    <x v="0"/>
  </r>
  <r>
    <x v="599"/>
    <x v="599"/>
    <s v="CUST00192"/>
    <x v="8"/>
    <s v="Telangana"/>
    <x v="4"/>
    <s v="Rice"/>
    <s v="Rice Lite"/>
    <n v="2"/>
    <n v="521"/>
    <n v="5"/>
    <n v="52.1"/>
    <n v="989.9"/>
    <x v="3"/>
    <n v="3"/>
    <x v="0"/>
  </r>
  <r>
    <x v="600"/>
    <x v="600"/>
    <s v="CUST00231"/>
    <x v="7"/>
    <s v="Tamil Nadu"/>
    <x v="3"/>
    <s v="Perfume"/>
    <s v="Perfume Max"/>
    <n v="2"/>
    <n v="200"/>
    <n v="5"/>
    <n v="20"/>
    <n v="380"/>
    <x v="0"/>
    <n v="1"/>
    <x v="0"/>
  </r>
  <r>
    <x v="601"/>
    <x v="601"/>
    <s v="CUST00151"/>
    <x v="1"/>
    <s v="Tamil Nadu"/>
    <x v="4"/>
    <s v="Snacks"/>
    <s v="Snacks Pro"/>
    <n v="2"/>
    <n v="787"/>
    <n v="0"/>
    <n v="0"/>
    <n v="1574"/>
    <x v="0"/>
    <n v="2"/>
    <x v="0"/>
  </r>
  <r>
    <x v="602"/>
    <x v="602"/>
    <s v="CUST00129"/>
    <x v="8"/>
    <s v="Telangana"/>
    <x v="0"/>
    <s v="Mixer"/>
    <s v="Mixer Classic"/>
    <n v="3"/>
    <n v="369"/>
    <n v="0"/>
    <n v="0"/>
    <n v="1107"/>
    <x v="0"/>
    <n v="5"/>
    <x v="0"/>
  </r>
  <r>
    <x v="603"/>
    <x v="603"/>
    <s v="CUST00297"/>
    <x v="0"/>
    <s v="Tamil Nadu"/>
    <x v="3"/>
    <s v="Moisturizer"/>
    <s v="Moisturizer Lite"/>
    <n v="2"/>
    <n v="1684"/>
    <n v="5"/>
    <n v="168.4"/>
    <n v="3199.6"/>
    <x v="3"/>
    <n v="3"/>
    <x v="0"/>
  </r>
  <r>
    <x v="604"/>
    <x v="604"/>
    <s v="CUST00237"/>
    <x v="4"/>
    <s v="West Bengal"/>
    <x v="2"/>
    <s v="Headphones"/>
    <s v="Headphones Lite"/>
    <n v="1"/>
    <n v="27873"/>
    <n v="0"/>
    <n v="0"/>
    <n v="27873"/>
    <x v="0"/>
    <n v="4"/>
    <x v="0"/>
  </r>
  <r>
    <x v="605"/>
    <x v="605"/>
    <s v="CUST00005"/>
    <x v="7"/>
    <s v="Tamil Nadu"/>
    <x v="0"/>
    <s v="Cooker"/>
    <s v="Cooker Lite"/>
    <n v="1"/>
    <n v="2754"/>
    <n v="0"/>
    <n v="0"/>
    <n v="2754"/>
    <x v="2"/>
    <n v="8"/>
    <x v="1"/>
  </r>
  <r>
    <x v="606"/>
    <x v="606"/>
    <s v="CUST00291"/>
    <x v="3"/>
    <s v="Tamil Nadu"/>
    <x v="4"/>
    <s v="Snacks"/>
    <s v="Snacks Plus"/>
    <n v="3"/>
    <n v="841"/>
    <n v="0"/>
    <n v="0"/>
    <n v="2523"/>
    <x v="0"/>
    <n v="3"/>
    <x v="0"/>
  </r>
  <r>
    <x v="607"/>
    <x v="607"/>
    <s v="CUST00156"/>
    <x v="2"/>
    <s v="Karnataka"/>
    <x v="1"/>
    <s v="T-Shirt"/>
    <s v="T-Shirt Classic"/>
    <n v="1"/>
    <n v="619"/>
    <n v="15"/>
    <n v="92.85"/>
    <n v="526.15"/>
    <x v="3"/>
    <n v="2"/>
    <x v="0"/>
  </r>
  <r>
    <x v="608"/>
    <x v="608"/>
    <s v="CUST00036"/>
    <x v="7"/>
    <s v="Tamil Nadu"/>
    <x v="2"/>
    <s v="Headphones"/>
    <s v="Headphones Classic"/>
    <n v="1"/>
    <n v="21915"/>
    <n v="0"/>
    <n v="0"/>
    <n v="21915"/>
    <x v="3"/>
    <n v="3"/>
    <x v="0"/>
  </r>
  <r>
    <x v="609"/>
    <x v="609"/>
    <s v="CUST00106"/>
    <x v="9"/>
    <s v="Maharashtra"/>
    <x v="1"/>
    <s v="Shoes"/>
    <s v="Shoes Plus"/>
    <n v="2"/>
    <n v="1700"/>
    <n v="5"/>
    <n v="170"/>
    <n v="3230"/>
    <x v="3"/>
    <n v="3"/>
    <x v="0"/>
  </r>
  <r>
    <x v="610"/>
    <x v="610"/>
    <s v="CUST00074"/>
    <x v="7"/>
    <s v="Tamil Nadu"/>
    <x v="2"/>
    <s v="Smart Watch"/>
    <s v="Smart Watch Classic"/>
    <n v="2"/>
    <n v="34962"/>
    <n v="5"/>
    <n v="3496.2"/>
    <n v="66427.8"/>
    <x v="4"/>
    <n v="3"/>
    <x v="0"/>
  </r>
  <r>
    <x v="611"/>
    <x v="611"/>
    <s v="CUST00234"/>
    <x v="4"/>
    <s v="West Bengal"/>
    <x v="0"/>
    <s v="Curtains"/>
    <s v="Curtains Classic"/>
    <n v="2"/>
    <n v="2340"/>
    <n v="10"/>
    <n v="468"/>
    <n v="4212"/>
    <x v="3"/>
    <n v="4"/>
    <x v="0"/>
  </r>
  <r>
    <x v="612"/>
    <x v="612"/>
    <s v="CUST00292"/>
    <x v="2"/>
    <s v="Karnataka"/>
    <x v="3"/>
    <s v="Face Wash"/>
    <s v="Face Wash Lite"/>
    <n v="2"/>
    <n v="1436"/>
    <n v="0"/>
    <n v="0"/>
    <n v="2872"/>
    <x v="2"/>
    <n v="4"/>
    <x v="0"/>
  </r>
  <r>
    <x v="613"/>
    <x v="613"/>
    <s v="CUST00253"/>
    <x v="6"/>
    <s v="Maharashtra"/>
    <x v="4"/>
    <s v="Rice"/>
    <s v="Rice Max"/>
    <n v="1"/>
    <n v="717"/>
    <n v="5"/>
    <n v="35.85"/>
    <n v="681.15"/>
    <x v="0"/>
    <n v="2"/>
    <x v="0"/>
  </r>
  <r>
    <x v="614"/>
    <x v="614"/>
    <s v="CUST00237"/>
    <x v="0"/>
    <s v="Tamil Nadu"/>
    <x v="2"/>
    <s v="Smart Watch"/>
    <s v="Smart Watch Plus"/>
    <n v="1"/>
    <n v="26671"/>
    <n v="0"/>
    <n v="0"/>
    <n v="26671"/>
    <x v="2"/>
    <n v="2"/>
    <x v="0"/>
  </r>
  <r>
    <x v="615"/>
    <x v="615"/>
    <s v="CUST00249"/>
    <x v="7"/>
    <s v="Tamil Nadu"/>
    <x v="2"/>
    <s v="Mobile"/>
    <s v="Mobile Classic"/>
    <n v="1"/>
    <n v="29186"/>
    <n v="15"/>
    <n v="4377.8999999999996"/>
    <n v="24808.1"/>
    <x v="0"/>
    <n v="1"/>
    <x v="0"/>
  </r>
  <r>
    <x v="616"/>
    <x v="616"/>
    <s v="CUST00091"/>
    <x v="8"/>
    <s v="Telangana"/>
    <x v="2"/>
    <s v="Power Bank"/>
    <s v="Power Bank Plus"/>
    <n v="1"/>
    <n v="1234"/>
    <n v="0"/>
    <n v="0"/>
    <n v="1234"/>
    <x v="2"/>
    <n v="5"/>
    <x v="0"/>
  </r>
  <r>
    <x v="617"/>
    <x v="617"/>
    <s v="CUST00025"/>
    <x v="1"/>
    <s v="Tamil Nadu"/>
    <x v="2"/>
    <s v="Smart Watch"/>
    <s v="Smart Watch Max"/>
    <n v="1"/>
    <n v="39703"/>
    <n v="10"/>
    <n v="3970.3"/>
    <n v="35732.699999999997"/>
    <x v="2"/>
    <n v="5"/>
    <x v="0"/>
  </r>
  <r>
    <x v="618"/>
    <x v="618"/>
    <s v="CUST00009"/>
    <x v="6"/>
    <s v="Maharashtra"/>
    <x v="2"/>
    <s v="Mobile"/>
    <s v="Mobile Max"/>
    <n v="2"/>
    <n v="4640"/>
    <n v="0"/>
    <n v="0"/>
    <n v="9280"/>
    <x v="0"/>
    <n v="2"/>
    <x v="0"/>
  </r>
  <r>
    <x v="619"/>
    <x v="619"/>
    <s v="CUST00168"/>
    <x v="4"/>
    <s v="West Bengal"/>
    <x v="4"/>
    <s v="Dal"/>
    <s v="Dal Classic"/>
    <n v="1"/>
    <n v="297"/>
    <n v="0"/>
    <n v="0"/>
    <n v="297"/>
    <x v="0"/>
    <n v="2"/>
    <x v="0"/>
  </r>
  <r>
    <x v="620"/>
    <x v="620"/>
    <s v="CUST00206"/>
    <x v="4"/>
    <s v="West Bengal"/>
    <x v="2"/>
    <s v="Smart Watch"/>
    <s v="Smart Watch Lite"/>
    <n v="1"/>
    <n v="4826"/>
    <n v="0"/>
    <n v="0"/>
    <n v="4826"/>
    <x v="2"/>
    <n v="3"/>
    <x v="0"/>
  </r>
  <r>
    <x v="621"/>
    <x v="621"/>
    <s v="CUST00053"/>
    <x v="1"/>
    <s v="Tamil Nadu"/>
    <x v="4"/>
    <s v="Dal"/>
    <s v="Dal Max"/>
    <n v="3"/>
    <n v="845"/>
    <n v="10"/>
    <n v="253.5"/>
    <n v="2281.5"/>
    <x v="1"/>
    <n v="3"/>
    <x v="0"/>
  </r>
  <r>
    <x v="622"/>
    <x v="622"/>
    <s v="CUST00090"/>
    <x v="4"/>
    <s v="West Bengal"/>
    <x v="3"/>
    <s v="Face Wash"/>
    <s v="Face Wash Max"/>
    <n v="1"/>
    <n v="1196"/>
    <n v="10"/>
    <n v="119.6"/>
    <n v="1076.4000000000001"/>
    <x v="3"/>
    <n v="3"/>
    <x v="0"/>
  </r>
  <r>
    <x v="623"/>
    <x v="623"/>
    <s v="CUST00120"/>
    <x v="0"/>
    <s v="Tamil Nadu"/>
    <x v="4"/>
    <s v="Rice"/>
    <s v="Rice Max"/>
    <n v="1"/>
    <n v="172"/>
    <n v="0"/>
    <n v="0"/>
    <n v="172"/>
    <x v="3"/>
    <n v="2"/>
    <x v="0"/>
  </r>
  <r>
    <x v="624"/>
    <x v="624"/>
    <s v="CUST00105"/>
    <x v="0"/>
    <s v="Tamil Nadu"/>
    <x v="1"/>
    <s v="Handbag"/>
    <s v="Handbag Plus"/>
    <n v="2"/>
    <n v="1499"/>
    <n v="10"/>
    <n v="299.8"/>
    <n v="2698.2"/>
    <x v="0"/>
    <n v="3"/>
    <x v="0"/>
  </r>
  <r>
    <x v="625"/>
    <x v="625"/>
    <s v="CUST00148"/>
    <x v="0"/>
    <s v="Tamil Nadu"/>
    <x v="1"/>
    <s v="Shoes"/>
    <s v="Shoes Max"/>
    <n v="1"/>
    <n v="842"/>
    <n v="15"/>
    <n v="126.3"/>
    <n v="715.7"/>
    <x v="4"/>
    <n v="2"/>
    <x v="0"/>
  </r>
  <r>
    <x v="626"/>
    <x v="626"/>
    <s v="CUST00267"/>
    <x v="4"/>
    <s v="West Bengal"/>
    <x v="1"/>
    <s v="Watch"/>
    <s v="Watch Pro"/>
    <n v="1"/>
    <n v="973"/>
    <n v="20"/>
    <n v="194.6"/>
    <n v="778.4"/>
    <x v="2"/>
    <n v="2"/>
    <x v="0"/>
  </r>
  <r>
    <x v="627"/>
    <x v="627"/>
    <s v="CUST00105"/>
    <x v="5"/>
    <s v="Delhi"/>
    <x v="4"/>
    <s v="Rice"/>
    <s v="Rice Plus"/>
    <n v="2"/>
    <n v="551"/>
    <n v="5"/>
    <n v="55.1"/>
    <n v="1046.9000000000001"/>
    <x v="4"/>
    <n v="2"/>
    <x v="0"/>
  </r>
  <r>
    <x v="628"/>
    <x v="628"/>
    <s v="CUST00230"/>
    <x v="5"/>
    <s v="Delhi"/>
    <x v="0"/>
    <s v="Curtains"/>
    <s v="Curtains Pro"/>
    <n v="3"/>
    <n v="3394"/>
    <n v="5"/>
    <n v="509.1"/>
    <n v="9672.9"/>
    <x v="3"/>
    <n v="3"/>
    <x v="0"/>
  </r>
  <r>
    <x v="629"/>
    <x v="629"/>
    <s v="CUST00247"/>
    <x v="0"/>
    <s v="Tamil Nadu"/>
    <x v="3"/>
    <s v="Perfume"/>
    <s v="Perfume Pro"/>
    <n v="2"/>
    <n v="1282"/>
    <n v="0"/>
    <n v="0"/>
    <n v="2564"/>
    <x v="3"/>
    <n v="2"/>
    <x v="0"/>
  </r>
  <r>
    <x v="630"/>
    <x v="630"/>
    <s v="CUST00288"/>
    <x v="3"/>
    <s v="Tamil Nadu"/>
    <x v="3"/>
    <s v="Face Wash"/>
    <s v="Face Wash Max"/>
    <n v="1"/>
    <n v="538"/>
    <n v="0"/>
    <n v="0"/>
    <n v="538"/>
    <x v="3"/>
    <n v="3"/>
    <x v="0"/>
  </r>
  <r>
    <x v="631"/>
    <x v="631"/>
    <s v="CUST00208"/>
    <x v="6"/>
    <s v="Maharashtra"/>
    <x v="3"/>
    <s v="Lipstick"/>
    <s v="Lipstick Plus"/>
    <n v="1"/>
    <n v="1962"/>
    <n v="20"/>
    <n v="392.4"/>
    <n v="1569.6"/>
    <x v="0"/>
    <n v="4"/>
    <x v="0"/>
  </r>
  <r>
    <x v="632"/>
    <x v="632"/>
    <s v="CUST00100"/>
    <x v="6"/>
    <s v="Maharashtra"/>
    <x v="0"/>
    <s v="Cooker"/>
    <s v="Cooker Classic"/>
    <n v="2"/>
    <n v="5632"/>
    <n v="10"/>
    <n v="1126.4000000000001"/>
    <n v="10137.6"/>
    <x v="0"/>
    <n v="1"/>
    <x v="0"/>
  </r>
  <r>
    <x v="633"/>
    <x v="633"/>
    <s v="CUST00015"/>
    <x v="9"/>
    <s v="Maharashtra"/>
    <x v="0"/>
    <s v="Dinner Set"/>
    <s v="Dinner Set Plus"/>
    <n v="3"/>
    <n v="2326"/>
    <n v="20"/>
    <n v="1395.6"/>
    <n v="5582.4"/>
    <x v="2"/>
    <n v="2"/>
    <x v="0"/>
  </r>
  <r>
    <x v="634"/>
    <x v="634"/>
    <s v="CUST00197"/>
    <x v="6"/>
    <s v="Maharashtra"/>
    <x v="4"/>
    <s v="Rice"/>
    <s v="Rice Classic"/>
    <n v="3"/>
    <n v="567"/>
    <n v="10"/>
    <n v="170.1"/>
    <n v="1530.9"/>
    <x v="3"/>
    <n v="3"/>
    <x v="0"/>
  </r>
  <r>
    <x v="635"/>
    <x v="635"/>
    <s v="CUST00158"/>
    <x v="6"/>
    <s v="Maharashtra"/>
    <x v="2"/>
    <s v="Mobile"/>
    <s v="Mobile Classic"/>
    <n v="2"/>
    <n v="23070"/>
    <n v="15"/>
    <n v="6921"/>
    <n v="39219"/>
    <x v="3"/>
    <n v="2"/>
    <x v="0"/>
  </r>
  <r>
    <x v="636"/>
    <x v="636"/>
    <s v="CUST00252"/>
    <x v="0"/>
    <s v="Tamil Nadu"/>
    <x v="2"/>
    <s v="Mobile"/>
    <s v="Mobile Plus"/>
    <n v="1"/>
    <n v="19396"/>
    <n v="0"/>
    <n v="0"/>
    <n v="19396"/>
    <x v="0"/>
    <n v="2"/>
    <x v="0"/>
  </r>
  <r>
    <x v="637"/>
    <x v="637"/>
    <s v="CUST00057"/>
    <x v="7"/>
    <s v="Tamil Nadu"/>
    <x v="4"/>
    <s v="Dal"/>
    <s v="Dal Lite"/>
    <n v="1"/>
    <n v="887"/>
    <n v="5"/>
    <n v="44.35"/>
    <n v="842.65"/>
    <x v="2"/>
    <n v="4"/>
    <x v="0"/>
  </r>
  <r>
    <x v="638"/>
    <x v="638"/>
    <s v="CUST00151"/>
    <x v="2"/>
    <s v="Karnataka"/>
    <x v="3"/>
    <s v="Face Wash"/>
    <s v="Face Wash Max"/>
    <n v="1"/>
    <n v="1143"/>
    <n v="10"/>
    <n v="114.3"/>
    <n v="1028.7"/>
    <x v="0"/>
    <n v="2"/>
    <x v="0"/>
  </r>
  <r>
    <x v="639"/>
    <x v="639"/>
    <s v="Unknown"/>
    <x v="0"/>
    <s v="Tamil Nadu"/>
    <x v="2"/>
    <s v="Laptop"/>
    <s v="Laptop Classic"/>
    <n v="2"/>
    <n v="25119"/>
    <n v="5"/>
    <n v="2511.9"/>
    <n v="47726.1"/>
    <x v="0"/>
    <n v="2"/>
    <x v="0"/>
  </r>
  <r>
    <x v="640"/>
    <x v="640"/>
    <s v="CUST00176"/>
    <x v="4"/>
    <s v="West Bengal"/>
    <x v="1"/>
    <s v="Shoes"/>
    <s v="Shoes Plus"/>
    <n v="1"/>
    <n v="3316"/>
    <n v="0"/>
    <n v="0"/>
    <n v="3316"/>
    <x v="2"/>
    <n v="3"/>
    <x v="0"/>
  </r>
  <r>
    <x v="641"/>
    <x v="641"/>
    <s v="CUST00014"/>
    <x v="3"/>
    <s v="Tamil Nadu"/>
    <x v="2"/>
    <s v="Power Bank"/>
    <s v="Power Bank Max"/>
    <n v="3"/>
    <n v="16788"/>
    <n v="10"/>
    <n v="5036.3999999999996"/>
    <n v="45327.6"/>
    <x v="3"/>
    <n v="2"/>
    <x v="0"/>
  </r>
  <r>
    <x v="642"/>
    <x v="642"/>
    <s v="CUST00002"/>
    <x v="4"/>
    <s v="West Bengal"/>
    <x v="2"/>
    <s v="Headphones"/>
    <s v="Headphones Pro"/>
    <n v="3"/>
    <n v="21833"/>
    <n v="5"/>
    <n v="3274.95"/>
    <n v="62224.05"/>
    <x v="4"/>
    <n v="1"/>
    <x v="0"/>
  </r>
  <r>
    <x v="643"/>
    <x v="643"/>
    <s v="CUST00244"/>
    <x v="2"/>
    <s v="Karnataka"/>
    <x v="3"/>
    <s v="Lipstick"/>
    <s v="Lipstick Classic"/>
    <n v="1"/>
    <n v="1321"/>
    <n v="0"/>
    <n v="0"/>
    <n v="1321"/>
    <x v="3"/>
    <n v="1"/>
    <x v="0"/>
  </r>
  <r>
    <x v="644"/>
    <x v="644"/>
    <s v="CUST00281"/>
    <x v="7"/>
    <s v="Tamil Nadu"/>
    <x v="1"/>
    <s v="Watch"/>
    <s v="Watch Pro"/>
    <n v="1"/>
    <n v="2373"/>
    <n v="10"/>
    <n v="237.3"/>
    <n v="2135.6999999999998"/>
    <x v="4"/>
    <n v="1"/>
    <x v="0"/>
  </r>
  <r>
    <x v="645"/>
    <x v="645"/>
    <s v="CUST00015"/>
    <x v="9"/>
    <s v="Maharashtra"/>
    <x v="0"/>
    <s v="Curtains"/>
    <s v="Curtains Max"/>
    <n v="1"/>
    <n v="7652"/>
    <n v="10"/>
    <n v="765.2"/>
    <n v="6886.8"/>
    <x v="2"/>
    <n v="4"/>
    <x v="0"/>
  </r>
  <r>
    <x v="646"/>
    <x v="646"/>
    <s v="CUST00171"/>
    <x v="5"/>
    <s v="Delhi"/>
    <x v="4"/>
    <s v="Snacks"/>
    <s v="Snacks Pro"/>
    <n v="1"/>
    <n v="1200"/>
    <n v="20"/>
    <n v="240"/>
    <n v="960"/>
    <x v="3"/>
    <n v="2"/>
    <x v="0"/>
  </r>
  <r>
    <x v="647"/>
    <x v="647"/>
    <s v="CUST00045"/>
    <x v="2"/>
    <s v="Karnataka"/>
    <x v="2"/>
    <s v="Headphones"/>
    <s v="Headphones Classic"/>
    <n v="3"/>
    <n v="8109"/>
    <n v="20"/>
    <n v="4865.3999999999996"/>
    <n v="19461.599999999999"/>
    <x v="4"/>
    <n v="1"/>
    <x v="0"/>
  </r>
  <r>
    <x v="648"/>
    <x v="648"/>
    <s v="CUST00275"/>
    <x v="5"/>
    <s v="Delhi"/>
    <x v="3"/>
    <s v="Perfume"/>
    <s v="Perfume Max"/>
    <n v="2"/>
    <n v="1382"/>
    <n v="0"/>
    <n v="0"/>
    <n v="2764"/>
    <x v="3"/>
    <n v="3"/>
    <x v="0"/>
  </r>
  <r>
    <x v="649"/>
    <x v="649"/>
    <s v="CUST00162"/>
    <x v="9"/>
    <s v="Maharashtra"/>
    <x v="0"/>
    <s v="Mixer"/>
    <s v="Mixer Plus"/>
    <n v="1"/>
    <n v="1494"/>
    <n v="15"/>
    <n v="224.1"/>
    <n v="1269.9000000000001"/>
    <x v="2"/>
    <n v="2"/>
    <x v="0"/>
  </r>
  <r>
    <x v="650"/>
    <x v="650"/>
    <s v="CUST00064"/>
    <x v="8"/>
    <s v="Telangana"/>
    <x v="4"/>
    <s v="Spices"/>
    <s v="Spices Lite"/>
    <n v="1"/>
    <n v="362"/>
    <n v="15"/>
    <n v="54.3"/>
    <n v="307.7"/>
    <x v="0"/>
    <n v="3"/>
    <x v="0"/>
  </r>
  <r>
    <x v="651"/>
    <x v="651"/>
    <s v="CUST00027"/>
    <x v="9"/>
    <s v="Maharashtra"/>
    <x v="3"/>
    <s v="Perfume"/>
    <s v="Perfume Max"/>
    <n v="3"/>
    <n v="953"/>
    <n v="5"/>
    <n v="142.94999999999999"/>
    <n v="2716.05"/>
    <x v="3"/>
    <n v="2"/>
    <x v="0"/>
  </r>
  <r>
    <x v="652"/>
    <x v="652"/>
    <s v="CUST00201"/>
    <x v="2"/>
    <s v="Karnataka"/>
    <x v="4"/>
    <s v="Oil"/>
    <s v="Oil Max"/>
    <n v="1"/>
    <n v="318"/>
    <n v="5"/>
    <n v="15.9"/>
    <n v="302.10000000000002"/>
    <x v="2"/>
    <n v="5"/>
    <x v="1"/>
  </r>
  <r>
    <x v="653"/>
    <x v="653"/>
    <s v="CUST00156"/>
    <x v="7"/>
    <s v="Tamil Nadu"/>
    <x v="1"/>
    <s v="Handbag"/>
    <s v="Handbag Lite"/>
    <n v="1"/>
    <n v="2784"/>
    <n v="0"/>
    <n v="0"/>
    <n v="2784"/>
    <x v="2"/>
    <n v="7"/>
    <x v="1"/>
  </r>
  <r>
    <x v="654"/>
    <x v="654"/>
    <s v="CUST00053"/>
    <x v="9"/>
    <s v="Maharashtra"/>
    <x v="3"/>
    <s v="Perfume"/>
    <s v="Perfume Lite"/>
    <n v="3"/>
    <n v="517"/>
    <n v="0"/>
    <n v="0"/>
    <n v="1551"/>
    <x v="3"/>
    <n v="2"/>
    <x v="0"/>
  </r>
  <r>
    <x v="655"/>
    <x v="655"/>
    <s v="CUST00077"/>
    <x v="6"/>
    <s v="Maharashtra"/>
    <x v="1"/>
    <s v="T-Shirt"/>
    <s v="T-Shirt Pro"/>
    <n v="1"/>
    <n v="2879"/>
    <n v="10"/>
    <n v="287.89999999999998"/>
    <n v="2591.1"/>
    <x v="3"/>
    <n v="3"/>
    <x v="0"/>
  </r>
  <r>
    <x v="656"/>
    <x v="656"/>
    <s v="CUST00046"/>
    <x v="7"/>
    <s v="Tamil Nadu"/>
    <x v="3"/>
    <s v="Lipstick"/>
    <s v="Lipstick Plus"/>
    <n v="1"/>
    <n v="399"/>
    <n v="10"/>
    <n v="39.9"/>
    <n v="359.1"/>
    <x v="2"/>
    <n v="5"/>
    <x v="0"/>
  </r>
  <r>
    <x v="657"/>
    <x v="657"/>
    <s v="CUST00246"/>
    <x v="8"/>
    <s v="Telangana"/>
    <x v="2"/>
    <s v="Power Bank"/>
    <s v="Power Bank Lite"/>
    <n v="1"/>
    <n v="28920"/>
    <n v="5"/>
    <n v="1446"/>
    <n v="27474"/>
    <x v="2"/>
    <n v="5"/>
    <x v="0"/>
  </r>
  <r>
    <x v="658"/>
    <x v="658"/>
    <s v="CUST00011"/>
    <x v="6"/>
    <s v="Maharashtra"/>
    <x v="4"/>
    <s v="Snacks"/>
    <s v="Snacks Classic"/>
    <n v="1"/>
    <n v="1384"/>
    <n v="0"/>
    <n v="0"/>
    <n v="1384"/>
    <x v="2"/>
    <n v="6"/>
    <x v="0"/>
  </r>
  <r>
    <x v="659"/>
    <x v="659"/>
    <s v="CUST00093"/>
    <x v="0"/>
    <s v="Tamil Nadu"/>
    <x v="4"/>
    <s v="Spices"/>
    <s v="Spices Max"/>
    <n v="1"/>
    <n v="229"/>
    <n v="5"/>
    <n v="11.45"/>
    <n v="217.55"/>
    <x v="2"/>
    <n v="2"/>
    <x v="0"/>
  </r>
  <r>
    <x v="660"/>
    <x v="660"/>
    <s v="CUST00153"/>
    <x v="4"/>
    <s v="West Bengal"/>
    <x v="4"/>
    <s v="Dal"/>
    <s v="Dal Plus"/>
    <n v="3"/>
    <n v="1113"/>
    <n v="15"/>
    <n v="500.85"/>
    <n v="2838.15"/>
    <x v="0"/>
    <n v="3"/>
    <x v="0"/>
  </r>
  <r>
    <x v="661"/>
    <x v="661"/>
    <s v="CUST00296"/>
    <x v="7"/>
    <s v="Tamil Nadu"/>
    <x v="0"/>
    <s v="Dinner Set"/>
    <s v="Dinner Set Max"/>
    <n v="1"/>
    <n v="5935"/>
    <n v="15"/>
    <n v="890.25"/>
    <n v="5044.75"/>
    <x v="0"/>
    <n v="2"/>
    <x v="0"/>
  </r>
  <r>
    <x v="662"/>
    <x v="662"/>
    <s v="CUST00111"/>
    <x v="9"/>
    <s v="Maharashtra"/>
    <x v="4"/>
    <s v="Snacks"/>
    <s v="Snacks Lite"/>
    <n v="1"/>
    <n v="914"/>
    <n v="0"/>
    <n v="0"/>
    <n v="914"/>
    <x v="0"/>
    <n v="2"/>
    <x v="0"/>
  </r>
  <r>
    <x v="663"/>
    <x v="663"/>
    <s v="CUST00205"/>
    <x v="7"/>
    <s v="Tamil Nadu"/>
    <x v="2"/>
    <s v="Headphones"/>
    <s v="Headphones Plus"/>
    <n v="3"/>
    <n v="9887"/>
    <n v="10"/>
    <n v="2966.1"/>
    <n v="26694.9"/>
    <x v="1"/>
    <n v="3"/>
    <x v="0"/>
  </r>
  <r>
    <x v="664"/>
    <x v="664"/>
    <s v="CUST00191"/>
    <x v="3"/>
    <s v="Tamil Nadu"/>
    <x v="4"/>
    <s v="Snacks"/>
    <s v="Snacks Lite"/>
    <n v="1"/>
    <n v="826"/>
    <n v="0"/>
    <n v="0"/>
    <n v="826"/>
    <x v="4"/>
    <n v="1"/>
    <x v="0"/>
  </r>
  <r>
    <x v="665"/>
    <x v="665"/>
    <s v="CUST00273"/>
    <x v="2"/>
    <s v="Karnataka"/>
    <x v="4"/>
    <s v="Spices"/>
    <s v="Spices Pro"/>
    <n v="1"/>
    <n v="609"/>
    <n v="0"/>
    <n v="0"/>
    <n v="609"/>
    <x v="2"/>
    <n v="3"/>
    <x v="0"/>
  </r>
  <r>
    <x v="666"/>
    <x v="666"/>
    <s v="CUST00194"/>
    <x v="2"/>
    <s v="Karnataka"/>
    <x v="2"/>
    <s v="Laptop"/>
    <s v="Laptop Classic"/>
    <n v="2"/>
    <n v="20590"/>
    <n v="10"/>
    <n v="4118"/>
    <n v="37062"/>
    <x v="2"/>
    <n v="4"/>
    <x v="0"/>
  </r>
  <r>
    <x v="667"/>
    <x v="667"/>
    <s v="CUST00088"/>
    <x v="4"/>
    <s v="West Bengal"/>
    <x v="3"/>
    <s v="Shampoo"/>
    <s v="Shampoo Max"/>
    <n v="2"/>
    <n v="1956"/>
    <n v="5"/>
    <n v="195.6"/>
    <n v="3716.4"/>
    <x v="0"/>
    <n v="1"/>
    <x v="0"/>
  </r>
  <r>
    <x v="668"/>
    <x v="668"/>
    <s v="CUST00080"/>
    <x v="9"/>
    <s v="Maharashtra"/>
    <x v="1"/>
    <s v="Watch"/>
    <s v="Watch Classic"/>
    <n v="2"/>
    <n v="3432"/>
    <n v="10"/>
    <n v="686.4"/>
    <n v="6177.6"/>
    <x v="3"/>
    <n v="2"/>
    <x v="0"/>
  </r>
  <r>
    <x v="669"/>
    <x v="669"/>
    <s v="CUST00182"/>
    <x v="7"/>
    <s v="Tamil Nadu"/>
    <x v="4"/>
    <s v="Oil"/>
    <s v="Oil Max"/>
    <n v="3"/>
    <n v="228"/>
    <n v="15"/>
    <n v="102.6"/>
    <n v="581.4"/>
    <x v="3"/>
    <n v="2"/>
    <x v="0"/>
  </r>
  <r>
    <x v="670"/>
    <x v="670"/>
    <s v="CUST00041"/>
    <x v="2"/>
    <s v="Karnataka"/>
    <x v="1"/>
    <s v="T-Shirt"/>
    <s v="T-Shirt Lite"/>
    <n v="1"/>
    <n v="2741"/>
    <n v="20"/>
    <n v="548.20000000000005"/>
    <n v="2192.8000000000002"/>
    <x v="3"/>
    <n v="3"/>
    <x v="0"/>
  </r>
  <r>
    <x v="671"/>
    <x v="671"/>
    <s v="CUST00246"/>
    <x v="7"/>
    <s v="Tamil Nadu"/>
    <x v="4"/>
    <s v="Snacks"/>
    <s v="Snacks Pro"/>
    <n v="1"/>
    <n v="1488"/>
    <n v="5"/>
    <n v="74.400000000000006"/>
    <n v="1413.6"/>
    <x v="0"/>
    <n v="5"/>
    <x v="0"/>
  </r>
  <r>
    <x v="672"/>
    <x v="672"/>
    <s v="CUST00271"/>
    <x v="3"/>
    <s v="Tamil Nadu"/>
    <x v="2"/>
    <s v="Power Bank"/>
    <s v="Power Bank Plus"/>
    <n v="3"/>
    <n v="34809"/>
    <n v="15"/>
    <n v="15664.05"/>
    <n v="88762.95"/>
    <x v="3"/>
    <n v="5"/>
    <x v="0"/>
  </r>
  <r>
    <x v="673"/>
    <x v="673"/>
    <s v="CUST00254"/>
    <x v="6"/>
    <s v="Maharashtra"/>
    <x v="1"/>
    <s v="Shoes"/>
    <s v="Shoes Pro"/>
    <n v="1"/>
    <n v="4816"/>
    <n v="0"/>
    <n v="0"/>
    <n v="4816"/>
    <x v="3"/>
    <n v="2"/>
    <x v="0"/>
  </r>
  <r>
    <x v="674"/>
    <x v="674"/>
    <s v="CUST00292"/>
    <x v="6"/>
    <s v="Maharashtra"/>
    <x v="1"/>
    <s v="Shoes"/>
    <s v="Shoes Classic"/>
    <n v="2"/>
    <n v="4193"/>
    <n v="0"/>
    <n v="0"/>
    <n v="8386"/>
    <x v="0"/>
    <n v="2"/>
    <x v="0"/>
  </r>
  <r>
    <x v="675"/>
    <x v="675"/>
    <s v="CUST00003"/>
    <x v="4"/>
    <s v="West Bengal"/>
    <x v="1"/>
    <s v="Watch"/>
    <s v="Watch Max"/>
    <n v="1"/>
    <n v="4430"/>
    <n v="5"/>
    <n v="221.5"/>
    <n v="4208.5"/>
    <x v="0"/>
    <n v="1"/>
    <x v="0"/>
  </r>
  <r>
    <x v="676"/>
    <x v="676"/>
    <s v="CUST00004"/>
    <x v="9"/>
    <s v="Maharashtra"/>
    <x v="0"/>
    <s v="Mixer"/>
    <s v="Mixer Plus"/>
    <n v="1"/>
    <n v="3808"/>
    <n v="5"/>
    <n v="190.4"/>
    <n v="3617.6"/>
    <x v="0"/>
    <n v="5"/>
    <x v="0"/>
  </r>
  <r>
    <x v="677"/>
    <x v="677"/>
    <s v="CUST00225"/>
    <x v="9"/>
    <s v="Maharashtra"/>
    <x v="1"/>
    <s v="Shoes"/>
    <s v="Shoes Plus"/>
    <n v="1"/>
    <n v="1306"/>
    <n v="0"/>
    <n v="0"/>
    <n v="1306"/>
    <x v="3"/>
    <n v="2"/>
    <x v="0"/>
  </r>
  <r>
    <x v="678"/>
    <x v="678"/>
    <s v="CUST00083"/>
    <x v="5"/>
    <s v="Delhi"/>
    <x v="3"/>
    <s v="Lipstick"/>
    <s v="Lipstick Pro"/>
    <n v="1"/>
    <n v="1546"/>
    <n v="5"/>
    <n v="77.3"/>
    <n v="1468.7"/>
    <x v="2"/>
    <n v="5"/>
    <x v="0"/>
  </r>
  <r>
    <x v="679"/>
    <x v="679"/>
    <s v="CUST00068"/>
    <x v="2"/>
    <s v="Karnataka"/>
    <x v="2"/>
    <s v="Mobile"/>
    <s v="Mobile Lite"/>
    <n v="1"/>
    <n v="33268"/>
    <n v="0"/>
    <n v="0"/>
    <n v="33268"/>
    <x v="2"/>
    <n v="3"/>
    <x v="0"/>
  </r>
  <r>
    <x v="680"/>
    <x v="680"/>
    <s v="CUST00223"/>
    <x v="7"/>
    <s v="Tamil Nadu"/>
    <x v="0"/>
    <s v="Cooker"/>
    <s v="Cooker Plus"/>
    <n v="1"/>
    <n v="5359"/>
    <n v="0"/>
    <n v="0"/>
    <n v="5359"/>
    <x v="0"/>
    <n v="1"/>
    <x v="0"/>
  </r>
  <r>
    <x v="681"/>
    <x v="681"/>
    <s v="CUST00127"/>
    <x v="6"/>
    <s v="Maharashtra"/>
    <x v="1"/>
    <s v="Watch"/>
    <s v="Watch Pro"/>
    <n v="2"/>
    <n v="1884"/>
    <n v="10"/>
    <n v="376.8"/>
    <n v="3391.2"/>
    <x v="0"/>
    <n v="1"/>
    <x v="0"/>
  </r>
  <r>
    <x v="682"/>
    <x v="682"/>
    <s v="CUST00020"/>
    <x v="8"/>
    <s v="Telangana"/>
    <x v="1"/>
    <s v="Jeans"/>
    <s v="Jeans Plus"/>
    <n v="1"/>
    <n v="1144"/>
    <n v="5"/>
    <n v="57.2"/>
    <n v="1086.8"/>
    <x v="0"/>
    <n v="3"/>
    <x v="0"/>
  </r>
  <r>
    <x v="683"/>
    <x v="683"/>
    <s v="CUST00114"/>
    <x v="4"/>
    <s v="West Bengal"/>
    <x v="3"/>
    <s v="Perfume"/>
    <s v="Perfume Pro"/>
    <n v="1"/>
    <n v="701"/>
    <n v="0"/>
    <n v="0"/>
    <n v="701"/>
    <x v="3"/>
    <n v="2"/>
    <x v="0"/>
  </r>
  <r>
    <x v="684"/>
    <x v="684"/>
    <s v="Unknown"/>
    <x v="9"/>
    <s v="Maharashtra"/>
    <x v="2"/>
    <s v="Mobile"/>
    <s v="Mobile Pro"/>
    <n v="1"/>
    <n v="21578"/>
    <n v="15"/>
    <n v="3236.7"/>
    <n v="18341.3"/>
    <x v="0"/>
    <n v="2"/>
    <x v="0"/>
  </r>
  <r>
    <x v="685"/>
    <x v="685"/>
    <s v="CUST00187"/>
    <x v="4"/>
    <s v="West Bengal"/>
    <x v="0"/>
    <s v="Bedsheet"/>
    <s v="Bedsheet Pro"/>
    <n v="1"/>
    <n v="3013"/>
    <n v="10"/>
    <n v="301.3"/>
    <n v="2711.7"/>
    <x v="4"/>
    <n v="3"/>
    <x v="0"/>
  </r>
  <r>
    <x v="686"/>
    <x v="686"/>
    <s v="CUST00142"/>
    <x v="5"/>
    <s v="Delhi"/>
    <x v="4"/>
    <s v="Spices"/>
    <s v="Spices Pro"/>
    <n v="2"/>
    <n v="1390"/>
    <n v="15"/>
    <n v="417"/>
    <n v="2363"/>
    <x v="0"/>
    <n v="2"/>
    <x v="0"/>
  </r>
  <r>
    <x v="687"/>
    <x v="687"/>
    <s v="CUST00039"/>
    <x v="1"/>
    <s v="Tamil Nadu"/>
    <x v="4"/>
    <s v="Oil"/>
    <s v="Oil Max"/>
    <n v="2"/>
    <n v="139"/>
    <n v="0"/>
    <n v="0"/>
    <n v="278"/>
    <x v="3"/>
    <n v="3"/>
    <x v="0"/>
  </r>
  <r>
    <x v="688"/>
    <x v="688"/>
    <s v="CUST00178"/>
    <x v="4"/>
    <s v="West Bengal"/>
    <x v="3"/>
    <s v="Face Wash"/>
    <s v="Face Wash Plus"/>
    <n v="1"/>
    <n v="1181"/>
    <n v="0"/>
    <n v="0"/>
    <n v="1181"/>
    <x v="0"/>
    <n v="5"/>
    <x v="0"/>
  </r>
  <r>
    <x v="689"/>
    <x v="689"/>
    <s v="CUST00290"/>
    <x v="0"/>
    <s v="Tamil Nadu"/>
    <x v="1"/>
    <s v="Watch"/>
    <s v="Watch Plus"/>
    <n v="1"/>
    <n v="1014"/>
    <n v="5"/>
    <n v="50.7"/>
    <n v="963.3"/>
    <x v="2"/>
    <n v="3"/>
    <x v="0"/>
  </r>
  <r>
    <x v="690"/>
    <x v="690"/>
    <s v="CUST00002"/>
    <x v="9"/>
    <s v="Maharashtra"/>
    <x v="4"/>
    <s v="Dal"/>
    <s v="Dal Classic"/>
    <n v="1"/>
    <n v="1125"/>
    <n v="0"/>
    <n v="0"/>
    <n v="1125"/>
    <x v="2"/>
    <n v="3"/>
    <x v="0"/>
  </r>
  <r>
    <x v="691"/>
    <x v="691"/>
    <s v="CUST00088"/>
    <x v="5"/>
    <s v="Delhi"/>
    <x v="2"/>
    <s v="Power Bank"/>
    <s v="Power Bank Lite"/>
    <n v="1"/>
    <n v="10208"/>
    <n v="15"/>
    <n v="1531.2"/>
    <n v="8676.7999999999993"/>
    <x v="0"/>
    <n v="5"/>
    <x v="0"/>
  </r>
  <r>
    <x v="692"/>
    <x v="692"/>
    <s v="CUST00274"/>
    <x v="2"/>
    <s v="Karnataka"/>
    <x v="2"/>
    <s v="Headphones"/>
    <s v="Headphones Classic"/>
    <n v="3"/>
    <n v="21770"/>
    <n v="0"/>
    <n v="0"/>
    <n v="65310"/>
    <x v="0"/>
    <n v="4"/>
    <x v="0"/>
  </r>
  <r>
    <x v="693"/>
    <x v="693"/>
    <s v="Unknown"/>
    <x v="0"/>
    <s v="Tamil Nadu"/>
    <x v="0"/>
    <s v="Mixer"/>
    <s v="Mixer Max"/>
    <n v="1"/>
    <n v="5684"/>
    <n v="0"/>
    <n v="0"/>
    <n v="5684"/>
    <x v="2"/>
    <n v="3"/>
    <x v="0"/>
  </r>
  <r>
    <x v="694"/>
    <x v="694"/>
    <s v="CUST00283"/>
    <x v="5"/>
    <s v="Delhi"/>
    <x v="3"/>
    <s v="Shampoo"/>
    <s v="Shampoo Max"/>
    <n v="1"/>
    <n v="1063"/>
    <n v="10"/>
    <n v="106.3"/>
    <n v="956.7"/>
    <x v="3"/>
    <n v="1"/>
    <x v="0"/>
  </r>
  <r>
    <x v="695"/>
    <x v="695"/>
    <s v="CUST00048"/>
    <x v="7"/>
    <s v="Tamil Nadu"/>
    <x v="1"/>
    <s v="Watch"/>
    <s v="Watch Lite"/>
    <n v="2"/>
    <n v="1947"/>
    <n v="10"/>
    <n v="389.4"/>
    <n v="3504.6"/>
    <x v="0"/>
    <n v="2"/>
    <x v="0"/>
  </r>
  <r>
    <x v="696"/>
    <x v="696"/>
    <s v="CUST00202"/>
    <x v="3"/>
    <s v="Tamil Nadu"/>
    <x v="1"/>
    <s v="T-Shirt"/>
    <s v="T-Shirt Lite"/>
    <n v="1"/>
    <n v="4127"/>
    <n v="0"/>
    <n v="0"/>
    <n v="4127"/>
    <x v="3"/>
    <n v="3"/>
    <x v="0"/>
  </r>
  <r>
    <x v="697"/>
    <x v="697"/>
    <s v="CUST00052"/>
    <x v="6"/>
    <s v="Maharashtra"/>
    <x v="3"/>
    <s v="Face Wash"/>
    <s v="Face Wash Pro"/>
    <n v="2"/>
    <n v="1727"/>
    <n v="0"/>
    <n v="0"/>
    <n v="3454"/>
    <x v="2"/>
    <n v="4"/>
    <x v="0"/>
  </r>
  <r>
    <x v="698"/>
    <x v="698"/>
    <s v="CUST00055"/>
    <x v="1"/>
    <s v="Tamil Nadu"/>
    <x v="0"/>
    <s v="Bedsheet"/>
    <s v="Bedsheet Lite"/>
    <n v="1"/>
    <n v="6980"/>
    <n v="5"/>
    <n v="349"/>
    <n v="6631"/>
    <x v="0"/>
    <n v="1"/>
    <x v="0"/>
  </r>
  <r>
    <x v="699"/>
    <x v="699"/>
    <s v="CUST00137"/>
    <x v="1"/>
    <s v="Tamil Nadu"/>
    <x v="2"/>
    <s v="Mobile"/>
    <s v="Mobile Pro"/>
    <n v="1"/>
    <n v="19947"/>
    <n v="0"/>
    <n v="0"/>
    <n v="19947"/>
    <x v="2"/>
    <n v="3"/>
    <x v="0"/>
  </r>
  <r>
    <x v="700"/>
    <x v="700"/>
    <s v="CUST00181"/>
    <x v="8"/>
    <s v="Telangana"/>
    <x v="1"/>
    <s v="Watch"/>
    <s v="Watch Pro"/>
    <n v="1"/>
    <n v="2239"/>
    <n v="0"/>
    <n v="0"/>
    <n v="2239"/>
    <x v="0"/>
    <n v="2"/>
    <x v="0"/>
  </r>
  <r>
    <x v="701"/>
    <x v="701"/>
    <s v="CUST00023"/>
    <x v="3"/>
    <s v="Tamil Nadu"/>
    <x v="1"/>
    <s v="Jeans"/>
    <s v="Jeans Plus"/>
    <n v="1"/>
    <n v="1885"/>
    <n v="15"/>
    <n v="282.75"/>
    <n v="1602.25"/>
    <x v="4"/>
    <n v="3"/>
    <x v="0"/>
  </r>
  <r>
    <x v="702"/>
    <x v="702"/>
    <s v="CUST00054"/>
    <x v="8"/>
    <s v="Telangana"/>
    <x v="3"/>
    <s v="Lipstick"/>
    <s v="Lipstick Max"/>
    <n v="2"/>
    <n v="454"/>
    <n v="0"/>
    <n v="0"/>
    <n v="908"/>
    <x v="0"/>
    <n v="2"/>
    <x v="0"/>
  </r>
  <r>
    <x v="703"/>
    <x v="703"/>
    <s v="CUST00035"/>
    <x v="2"/>
    <s v="Karnataka"/>
    <x v="4"/>
    <s v="Spices"/>
    <s v="Spices Max"/>
    <n v="1"/>
    <n v="838"/>
    <n v="5"/>
    <n v="41.9"/>
    <n v="796.1"/>
    <x v="3"/>
    <n v="2"/>
    <x v="0"/>
  </r>
  <r>
    <x v="704"/>
    <x v="704"/>
    <s v="CUST00171"/>
    <x v="9"/>
    <s v="Maharashtra"/>
    <x v="1"/>
    <s v="Watch"/>
    <s v="Watch Plus"/>
    <n v="1"/>
    <n v="4772"/>
    <n v="15"/>
    <n v="715.8"/>
    <n v="4056.2"/>
    <x v="3"/>
    <n v="3"/>
    <x v="0"/>
  </r>
  <r>
    <x v="705"/>
    <x v="705"/>
    <s v="CUST00270"/>
    <x v="3"/>
    <s v="Tamil Nadu"/>
    <x v="1"/>
    <s v="T-Shirt"/>
    <s v="T-Shirt Lite"/>
    <n v="1"/>
    <n v="540"/>
    <n v="20"/>
    <n v="108"/>
    <n v="432"/>
    <x v="2"/>
    <n v="3"/>
    <x v="0"/>
  </r>
  <r>
    <x v="706"/>
    <x v="706"/>
    <s v="CUST00151"/>
    <x v="7"/>
    <s v="Tamil Nadu"/>
    <x v="1"/>
    <s v="Handbag"/>
    <s v="Handbag Plus"/>
    <n v="1"/>
    <n v="857"/>
    <n v="20"/>
    <n v="171.4"/>
    <n v="685.6"/>
    <x v="2"/>
    <n v="5"/>
    <x v="1"/>
  </r>
  <r>
    <x v="707"/>
    <x v="707"/>
    <s v="CUST00191"/>
    <x v="0"/>
    <s v="Tamil Nadu"/>
    <x v="2"/>
    <s v="Power Bank"/>
    <s v="Power Bank Pro"/>
    <n v="1"/>
    <n v="39423"/>
    <n v="0"/>
    <n v="0"/>
    <n v="39423"/>
    <x v="0"/>
    <n v="1"/>
    <x v="0"/>
  </r>
  <r>
    <x v="708"/>
    <x v="708"/>
    <s v="CUST00077"/>
    <x v="9"/>
    <s v="Maharashtra"/>
    <x v="3"/>
    <s v="Shampoo"/>
    <s v="Shampoo Classic"/>
    <n v="1"/>
    <n v="1629"/>
    <n v="5"/>
    <n v="81.45"/>
    <n v="1547.55"/>
    <x v="4"/>
    <n v="1"/>
    <x v="0"/>
  </r>
  <r>
    <x v="709"/>
    <x v="709"/>
    <s v="CUST00080"/>
    <x v="0"/>
    <s v="Tamil Nadu"/>
    <x v="2"/>
    <s v="Power Bank"/>
    <s v="Power Bank Lite"/>
    <n v="1"/>
    <n v="1212"/>
    <n v="15"/>
    <n v="181.8"/>
    <n v="1030.2"/>
    <x v="3"/>
    <n v="3"/>
    <x v="0"/>
  </r>
  <r>
    <x v="710"/>
    <x v="710"/>
    <s v="CUST00257"/>
    <x v="8"/>
    <s v="Telangana"/>
    <x v="1"/>
    <s v="Watch"/>
    <s v="Watch Lite"/>
    <n v="1"/>
    <n v="4672"/>
    <n v="5"/>
    <n v="233.6"/>
    <n v="4438.3999999999996"/>
    <x v="0"/>
    <n v="2"/>
    <x v="0"/>
  </r>
  <r>
    <x v="711"/>
    <x v="711"/>
    <s v="CUST00040"/>
    <x v="7"/>
    <s v="Tamil Nadu"/>
    <x v="3"/>
    <s v="Lipstick"/>
    <s v="Lipstick Plus"/>
    <n v="2"/>
    <n v="910"/>
    <n v="5"/>
    <n v="91"/>
    <n v="1729"/>
    <x v="0"/>
    <n v="1"/>
    <x v="0"/>
  </r>
  <r>
    <x v="712"/>
    <x v="712"/>
    <s v="CUST00172"/>
    <x v="0"/>
    <s v="Tamil Nadu"/>
    <x v="1"/>
    <s v="Shoes"/>
    <s v="Shoes Lite"/>
    <n v="1"/>
    <n v="2135"/>
    <n v="0"/>
    <n v="0"/>
    <n v="2135"/>
    <x v="0"/>
    <n v="4"/>
    <x v="0"/>
  </r>
  <r>
    <x v="713"/>
    <x v="713"/>
    <s v="CUST00292"/>
    <x v="3"/>
    <s v="Tamil Nadu"/>
    <x v="2"/>
    <s v="Power Bank"/>
    <s v="Power Bank Plus"/>
    <n v="1"/>
    <n v="21116"/>
    <n v="10"/>
    <n v="2111.6"/>
    <n v="19004.400000000001"/>
    <x v="1"/>
    <n v="3"/>
    <x v="0"/>
  </r>
  <r>
    <x v="714"/>
    <x v="714"/>
    <s v="CUST00201"/>
    <x v="4"/>
    <s v="West Bengal"/>
    <x v="1"/>
    <s v="T-Shirt"/>
    <s v="T-Shirt Max"/>
    <n v="1"/>
    <n v="1227"/>
    <n v="0"/>
    <n v="0"/>
    <n v="1227"/>
    <x v="2"/>
    <n v="3"/>
    <x v="0"/>
  </r>
  <r>
    <x v="715"/>
    <x v="715"/>
    <s v="CUST00149"/>
    <x v="9"/>
    <s v="Maharashtra"/>
    <x v="1"/>
    <s v="Watch"/>
    <s v="Watch Pro"/>
    <n v="2"/>
    <n v="2297"/>
    <n v="10"/>
    <n v="459.4"/>
    <n v="4134.6000000000004"/>
    <x v="2"/>
    <n v="2"/>
    <x v="0"/>
  </r>
  <r>
    <x v="716"/>
    <x v="716"/>
    <s v="CUST00268"/>
    <x v="4"/>
    <s v="West Bengal"/>
    <x v="3"/>
    <s v="Shampoo"/>
    <s v="Shampoo Max"/>
    <n v="1"/>
    <n v="1609"/>
    <n v="5"/>
    <n v="80.45"/>
    <n v="1528.55"/>
    <x v="0"/>
    <n v="3"/>
    <x v="0"/>
  </r>
  <r>
    <x v="717"/>
    <x v="717"/>
    <s v="CUST00079"/>
    <x v="3"/>
    <s v="Tamil Nadu"/>
    <x v="3"/>
    <s v="Face Wash"/>
    <s v="Face Wash Pro"/>
    <n v="1"/>
    <n v="1783"/>
    <n v="5"/>
    <n v="89.15"/>
    <n v="1693.85"/>
    <x v="3"/>
    <n v="2"/>
    <x v="0"/>
  </r>
  <r>
    <x v="718"/>
    <x v="718"/>
    <s v="CUST00144"/>
    <x v="3"/>
    <s v="Tamil Nadu"/>
    <x v="0"/>
    <s v="Cooker"/>
    <s v="Cooker Pro"/>
    <n v="1"/>
    <n v="4176"/>
    <n v="10"/>
    <n v="417.6"/>
    <n v="3758.4"/>
    <x v="0"/>
    <n v="1"/>
    <x v="0"/>
  </r>
  <r>
    <x v="719"/>
    <x v="719"/>
    <s v="CUST00250"/>
    <x v="0"/>
    <s v="Tamil Nadu"/>
    <x v="0"/>
    <s v="Cooker"/>
    <s v="Cooker Plus"/>
    <n v="1"/>
    <n v="3304"/>
    <n v="20"/>
    <n v="660.8"/>
    <n v="2643.2"/>
    <x v="3"/>
    <n v="3"/>
    <x v="0"/>
  </r>
  <r>
    <x v="720"/>
    <x v="720"/>
    <s v="CUST00231"/>
    <x v="8"/>
    <s v="Telangana"/>
    <x v="2"/>
    <s v="Power Bank"/>
    <s v="Power Bank Pro"/>
    <n v="2"/>
    <n v="16544"/>
    <n v="0"/>
    <n v="0"/>
    <n v="33088"/>
    <x v="0"/>
    <n v="2"/>
    <x v="0"/>
  </r>
  <r>
    <x v="721"/>
    <x v="721"/>
    <s v="CUST00115"/>
    <x v="6"/>
    <s v="Maharashtra"/>
    <x v="3"/>
    <s v="Face Wash"/>
    <s v="Face Wash Max"/>
    <n v="1"/>
    <n v="325"/>
    <n v="10"/>
    <n v="32.5"/>
    <n v="292.5"/>
    <x v="2"/>
    <n v="5"/>
    <x v="0"/>
  </r>
  <r>
    <x v="722"/>
    <x v="722"/>
    <s v="CUST00206"/>
    <x v="4"/>
    <s v="West Bengal"/>
    <x v="2"/>
    <s v="Headphones"/>
    <s v="Headphones Max"/>
    <n v="3"/>
    <n v="32369"/>
    <n v="0"/>
    <n v="0"/>
    <n v="97107"/>
    <x v="3"/>
    <n v="3"/>
    <x v="0"/>
  </r>
  <r>
    <x v="723"/>
    <x v="723"/>
    <s v="CUST00075"/>
    <x v="5"/>
    <s v="Delhi"/>
    <x v="0"/>
    <s v="Dinner Set"/>
    <s v="Dinner Set Pro"/>
    <n v="3"/>
    <n v="7971"/>
    <n v="10"/>
    <n v="2391.3000000000002"/>
    <n v="21521.7"/>
    <x v="1"/>
    <n v="2"/>
    <x v="0"/>
  </r>
  <r>
    <x v="724"/>
    <x v="724"/>
    <s v="CUST00012"/>
    <x v="6"/>
    <s v="Maharashtra"/>
    <x v="0"/>
    <s v="Cooker"/>
    <s v="Cooker Lite"/>
    <n v="1"/>
    <n v="3618"/>
    <n v="15"/>
    <n v="542.70000000000005"/>
    <n v="3075.3"/>
    <x v="3"/>
    <n v="2"/>
    <x v="0"/>
  </r>
  <r>
    <x v="725"/>
    <x v="725"/>
    <s v="CUST00133"/>
    <x v="9"/>
    <s v="Maharashtra"/>
    <x v="2"/>
    <s v="Mobile"/>
    <s v="Mobile Plus"/>
    <n v="1"/>
    <n v="19957"/>
    <n v="5"/>
    <n v="997.85"/>
    <n v="18959.150000000001"/>
    <x v="3"/>
    <n v="3"/>
    <x v="0"/>
  </r>
  <r>
    <x v="726"/>
    <x v="726"/>
    <s v="CUST00224"/>
    <x v="4"/>
    <s v="West Bengal"/>
    <x v="4"/>
    <s v="Spices"/>
    <s v="Spices Pro"/>
    <n v="1"/>
    <n v="1417"/>
    <n v="5"/>
    <n v="70.849999999999994"/>
    <n v="1346.15"/>
    <x v="0"/>
    <n v="3"/>
    <x v="0"/>
  </r>
  <r>
    <x v="727"/>
    <x v="727"/>
    <s v="CUST00008"/>
    <x v="9"/>
    <s v="Maharashtra"/>
    <x v="3"/>
    <s v="Shampoo"/>
    <s v="Shampoo Plus"/>
    <n v="2"/>
    <n v="1216"/>
    <n v="20"/>
    <n v="486.4"/>
    <n v="1945.6"/>
    <x v="2"/>
    <n v="5"/>
    <x v="0"/>
  </r>
  <r>
    <x v="728"/>
    <x v="728"/>
    <s v="CUST00297"/>
    <x v="2"/>
    <s v="Karnataka"/>
    <x v="2"/>
    <s v="Laptop"/>
    <s v="Laptop Lite"/>
    <n v="1"/>
    <n v="36288"/>
    <n v="5"/>
    <n v="1814.4"/>
    <n v="34473.599999999999"/>
    <x v="1"/>
    <n v="5"/>
    <x v="0"/>
  </r>
  <r>
    <x v="729"/>
    <x v="729"/>
    <s v="CUST00008"/>
    <x v="4"/>
    <s v="West Bengal"/>
    <x v="0"/>
    <s v="Bedsheet"/>
    <s v="Bedsheet Max"/>
    <n v="2"/>
    <n v="6028"/>
    <n v="20"/>
    <n v="2411.1999999999998"/>
    <n v="9644.7999999999993"/>
    <x v="3"/>
    <n v="2"/>
    <x v="0"/>
  </r>
  <r>
    <x v="730"/>
    <x v="730"/>
    <s v="CUST00219"/>
    <x v="1"/>
    <s v="Tamil Nadu"/>
    <x v="0"/>
    <s v="Bedsheet"/>
    <s v="Bedsheet Lite"/>
    <n v="1"/>
    <n v="4828"/>
    <n v="5"/>
    <n v="241.4"/>
    <n v="4586.6000000000004"/>
    <x v="3"/>
    <n v="4"/>
    <x v="0"/>
  </r>
  <r>
    <x v="731"/>
    <x v="731"/>
    <s v="CUST00224"/>
    <x v="8"/>
    <s v="Telangana"/>
    <x v="4"/>
    <s v="Rice"/>
    <s v="Rice Pro"/>
    <n v="2"/>
    <n v="1312"/>
    <n v="15"/>
    <n v="393.6"/>
    <n v="2230.4"/>
    <x v="0"/>
    <n v="3"/>
    <x v="0"/>
  </r>
  <r>
    <x v="732"/>
    <x v="732"/>
    <s v="CUST00279"/>
    <x v="2"/>
    <s v="Karnataka"/>
    <x v="3"/>
    <s v="Moisturizer"/>
    <s v="Moisturizer Classic"/>
    <n v="2"/>
    <n v="606"/>
    <n v="5"/>
    <n v="60.6"/>
    <n v="1151.4000000000001"/>
    <x v="0"/>
    <n v="4"/>
    <x v="0"/>
  </r>
  <r>
    <x v="733"/>
    <x v="733"/>
    <s v="CUST00180"/>
    <x v="7"/>
    <s v="Tamil Nadu"/>
    <x v="3"/>
    <s v="Perfume"/>
    <s v="Perfume Pro"/>
    <n v="3"/>
    <n v="698"/>
    <n v="0"/>
    <n v="0"/>
    <n v="2094"/>
    <x v="2"/>
    <n v="7"/>
    <x v="0"/>
  </r>
  <r>
    <x v="734"/>
    <x v="734"/>
    <s v="CUST00213"/>
    <x v="0"/>
    <s v="Tamil Nadu"/>
    <x v="2"/>
    <s v="Mobile"/>
    <s v="Mobile Lite"/>
    <n v="2"/>
    <n v="34510"/>
    <n v="20"/>
    <n v="13804"/>
    <n v="55216"/>
    <x v="0"/>
    <n v="5"/>
    <x v="0"/>
  </r>
  <r>
    <x v="735"/>
    <x v="735"/>
    <s v="CUST00202"/>
    <x v="0"/>
    <s v="Tamil Nadu"/>
    <x v="4"/>
    <s v="Spices"/>
    <s v="Spices Lite"/>
    <n v="3"/>
    <n v="1109"/>
    <n v="0"/>
    <n v="0"/>
    <n v="3327"/>
    <x v="0"/>
    <n v="3"/>
    <x v="0"/>
  </r>
  <r>
    <x v="736"/>
    <x v="736"/>
    <s v="CUST00259"/>
    <x v="2"/>
    <s v="Karnataka"/>
    <x v="4"/>
    <s v="Spices"/>
    <s v="Spices Max"/>
    <n v="2"/>
    <n v="241"/>
    <n v="0"/>
    <n v="0"/>
    <n v="482"/>
    <x v="0"/>
    <n v="3"/>
    <x v="0"/>
  </r>
  <r>
    <x v="737"/>
    <x v="737"/>
    <s v="CUST00015"/>
    <x v="3"/>
    <s v="Tamil Nadu"/>
    <x v="4"/>
    <s v="Rice"/>
    <s v="Rice Classic"/>
    <n v="1"/>
    <n v="783"/>
    <n v="0"/>
    <n v="0"/>
    <n v="783"/>
    <x v="4"/>
    <n v="2"/>
    <x v="0"/>
  </r>
  <r>
    <x v="738"/>
    <x v="738"/>
    <s v="CUST00275"/>
    <x v="5"/>
    <s v="Delhi"/>
    <x v="3"/>
    <s v="Lipstick"/>
    <s v="Lipstick Pro"/>
    <n v="1"/>
    <n v="1336"/>
    <n v="0"/>
    <n v="0"/>
    <n v="1336"/>
    <x v="2"/>
    <n v="2"/>
    <x v="0"/>
  </r>
  <r>
    <x v="739"/>
    <x v="739"/>
    <s v="CUST00048"/>
    <x v="2"/>
    <s v="Karnataka"/>
    <x v="3"/>
    <s v="Lipstick"/>
    <s v="Lipstick Lite"/>
    <n v="1"/>
    <n v="300"/>
    <n v="20"/>
    <n v="60"/>
    <n v="240"/>
    <x v="0"/>
    <n v="3"/>
    <x v="0"/>
  </r>
  <r>
    <x v="740"/>
    <x v="740"/>
    <s v="CUST00161"/>
    <x v="7"/>
    <s v="Tamil Nadu"/>
    <x v="1"/>
    <s v="Jeans"/>
    <s v="Jeans Max"/>
    <n v="1"/>
    <n v="657"/>
    <n v="5"/>
    <n v="32.85"/>
    <n v="624.15"/>
    <x v="4"/>
    <n v="3"/>
    <x v="0"/>
  </r>
  <r>
    <x v="741"/>
    <x v="741"/>
    <s v="CUST00268"/>
    <x v="8"/>
    <s v="Telangana"/>
    <x v="2"/>
    <s v="Laptop"/>
    <s v="Laptop Classic"/>
    <n v="1"/>
    <n v="2009"/>
    <n v="0"/>
    <n v="0"/>
    <n v="2009"/>
    <x v="3"/>
    <n v="4"/>
    <x v="0"/>
  </r>
  <r>
    <x v="742"/>
    <x v="742"/>
    <s v="CUST00168"/>
    <x v="9"/>
    <s v="Maharashtra"/>
    <x v="1"/>
    <s v="T-Shirt"/>
    <s v="T-Shirt Lite"/>
    <n v="1"/>
    <n v="2032"/>
    <n v="5"/>
    <n v="101.6"/>
    <n v="1930.4"/>
    <x v="0"/>
    <n v="3"/>
    <x v="0"/>
  </r>
  <r>
    <x v="743"/>
    <x v="743"/>
    <s v="CUST00224"/>
    <x v="1"/>
    <s v="Tamil Nadu"/>
    <x v="3"/>
    <s v="Shampoo"/>
    <s v="Shampoo Max"/>
    <n v="1"/>
    <n v="1345"/>
    <n v="5"/>
    <n v="67.25"/>
    <n v="1277.75"/>
    <x v="2"/>
    <n v="8"/>
    <x v="0"/>
  </r>
  <r>
    <x v="744"/>
    <x v="744"/>
    <s v="CUST00217"/>
    <x v="3"/>
    <s v="Tamil Nadu"/>
    <x v="0"/>
    <s v="Cooker"/>
    <s v="Cooker Classic"/>
    <n v="1"/>
    <n v="1936"/>
    <n v="5"/>
    <n v="96.8"/>
    <n v="1839.2"/>
    <x v="4"/>
    <n v="1"/>
    <x v="0"/>
  </r>
  <r>
    <x v="745"/>
    <x v="745"/>
    <s v="CUST00018"/>
    <x v="1"/>
    <s v="Tamil Nadu"/>
    <x v="0"/>
    <s v="Dinner Set"/>
    <s v="Dinner Set Plus"/>
    <n v="1"/>
    <n v="3562"/>
    <n v="0"/>
    <n v="0"/>
    <n v="3562"/>
    <x v="0"/>
    <n v="3"/>
    <x v="0"/>
  </r>
  <r>
    <x v="746"/>
    <x v="746"/>
    <s v="CUST00126"/>
    <x v="2"/>
    <s v="Karnataka"/>
    <x v="1"/>
    <s v="Shoes"/>
    <s v="Shoes Max"/>
    <n v="1"/>
    <n v="1401"/>
    <n v="0"/>
    <n v="0"/>
    <n v="1401"/>
    <x v="0"/>
    <n v="2"/>
    <x v="0"/>
  </r>
  <r>
    <x v="747"/>
    <x v="747"/>
    <s v="CUST00120"/>
    <x v="1"/>
    <s v="Tamil Nadu"/>
    <x v="2"/>
    <s v="Smart Watch"/>
    <s v="Smart Watch Max"/>
    <n v="1"/>
    <n v="35054"/>
    <n v="10"/>
    <n v="3505.4"/>
    <n v="31548.6"/>
    <x v="2"/>
    <n v="8"/>
    <x v="0"/>
  </r>
  <r>
    <x v="748"/>
    <x v="748"/>
    <s v="CUST00216"/>
    <x v="6"/>
    <s v="Maharashtra"/>
    <x v="0"/>
    <s v="Cooker"/>
    <s v="Cooker Lite"/>
    <n v="1"/>
    <n v="683"/>
    <n v="0"/>
    <n v="0"/>
    <n v="683"/>
    <x v="3"/>
    <n v="3"/>
    <x v="0"/>
  </r>
  <r>
    <x v="749"/>
    <x v="749"/>
    <s v="CUST00197"/>
    <x v="5"/>
    <s v="Delhi"/>
    <x v="4"/>
    <s v="Rice"/>
    <s v="Rice Max"/>
    <n v="1"/>
    <n v="632"/>
    <n v="0"/>
    <n v="0"/>
    <n v="632"/>
    <x v="1"/>
    <n v="1"/>
    <x v="0"/>
  </r>
  <r>
    <x v="750"/>
    <x v="750"/>
    <s v="CUST00271"/>
    <x v="0"/>
    <s v="Tamil Nadu"/>
    <x v="0"/>
    <s v="Bedsheet"/>
    <s v="Bedsheet Pro"/>
    <n v="1"/>
    <n v="2550"/>
    <n v="5"/>
    <n v="127.5"/>
    <n v="2422.5"/>
    <x v="4"/>
    <n v="2"/>
    <x v="0"/>
  </r>
  <r>
    <x v="751"/>
    <x v="751"/>
    <s v="CUST00025"/>
    <x v="6"/>
    <s v="Maharashtra"/>
    <x v="0"/>
    <s v="Curtains"/>
    <s v="Curtains Plus"/>
    <n v="2"/>
    <n v="7981"/>
    <n v="0"/>
    <n v="0"/>
    <n v="15962"/>
    <x v="0"/>
    <n v="1"/>
    <x v="0"/>
  </r>
  <r>
    <x v="752"/>
    <x v="752"/>
    <s v="CUST00166"/>
    <x v="6"/>
    <s v="Maharashtra"/>
    <x v="1"/>
    <s v="Jeans"/>
    <s v="Jeans Pro"/>
    <n v="1"/>
    <n v="4803"/>
    <n v="0"/>
    <n v="0"/>
    <n v="4803"/>
    <x v="2"/>
    <n v="2"/>
    <x v="0"/>
  </r>
  <r>
    <x v="753"/>
    <x v="753"/>
    <s v="CUST00136"/>
    <x v="4"/>
    <s v="West Bengal"/>
    <x v="4"/>
    <s v="Spices"/>
    <s v="Spices Max"/>
    <n v="1"/>
    <n v="703"/>
    <n v="15"/>
    <n v="105.45"/>
    <n v="597.54999999999995"/>
    <x v="2"/>
    <n v="5"/>
    <x v="0"/>
  </r>
  <r>
    <x v="754"/>
    <x v="754"/>
    <s v="CUST00229"/>
    <x v="2"/>
    <s v="Karnataka"/>
    <x v="4"/>
    <s v="Snacks"/>
    <s v="Snacks Lite"/>
    <n v="1"/>
    <n v="1038"/>
    <n v="0"/>
    <n v="0"/>
    <n v="1038"/>
    <x v="0"/>
    <n v="2"/>
    <x v="0"/>
  </r>
  <r>
    <x v="755"/>
    <x v="755"/>
    <s v="CUST00181"/>
    <x v="1"/>
    <s v="Tamil Nadu"/>
    <x v="1"/>
    <s v="Jeans"/>
    <s v="Jeans Pro"/>
    <n v="1"/>
    <n v="893"/>
    <n v="0"/>
    <n v="0"/>
    <n v="893"/>
    <x v="2"/>
    <n v="4"/>
    <x v="1"/>
  </r>
  <r>
    <x v="756"/>
    <x v="756"/>
    <s v="CUST00271"/>
    <x v="1"/>
    <s v="Tamil Nadu"/>
    <x v="0"/>
    <s v="Cooker"/>
    <s v="Cooker Plus"/>
    <n v="1"/>
    <n v="7788"/>
    <n v="15"/>
    <n v="1168.2"/>
    <n v="6619.8"/>
    <x v="3"/>
    <n v="2"/>
    <x v="0"/>
  </r>
  <r>
    <x v="757"/>
    <x v="757"/>
    <s v="CUST00263"/>
    <x v="5"/>
    <s v="Delhi"/>
    <x v="3"/>
    <s v="Shampoo"/>
    <s v="Shampoo Pro"/>
    <n v="1"/>
    <n v="1332"/>
    <n v="0"/>
    <n v="0"/>
    <n v="1332"/>
    <x v="3"/>
    <n v="1"/>
    <x v="0"/>
  </r>
  <r>
    <x v="758"/>
    <x v="758"/>
    <s v="CUST00124"/>
    <x v="0"/>
    <s v="Tamil Nadu"/>
    <x v="3"/>
    <s v="Shampoo"/>
    <s v="Shampoo Max"/>
    <n v="1"/>
    <n v="693"/>
    <n v="15"/>
    <n v="103.95"/>
    <n v="589.04999999999995"/>
    <x v="0"/>
    <n v="2"/>
    <x v="0"/>
  </r>
  <r>
    <x v="759"/>
    <x v="759"/>
    <s v="CUST00204"/>
    <x v="1"/>
    <s v="Tamil Nadu"/>
    <x v="3"/>
    <s v="Moisturizer"/>
    <s v="Moisturizer Max"/>
    <n v="1"/>
    <n v="250"/>
    <n v="5"/>
    <n v="12.5"/>
    <n v="237.5"/>
    <x v="2"/>
    <n v="4"/>
    <x v="1"/>
  </r>
  <r>
    <x v="760"/>
    <x v="760"/>
    <s v="CUST00142"/>
    <x v="1"/>
    <s v="Tamil Nadu"/>
    <x v="4"/>
    <s v="Spices"/>
    <s v="Spices Classic"/>
    <n v="1"/>
    <n v="285"/>
    <n v="0"/>
    <n v="0"/>
    <n v="285"/>
    <x v="0"/>
    <n v="2"/>
    <x v="0"/>
  </r>
  <r>
    <x v="761"/>
    <x v="761"/>
    <s v="CUST00273"/>
    <x v="2"/>
    <s v="Karnataka"/>
    <x v="0"/>
    <s v="Mixer"/>
    <s v="Mixer Classic"/>
    <n v="1"/>
    <n v="3518"/>
    <n v="10"/>
    <n v="351.8"/>
    <n v="3166.2"/>
    <x v="2"/>
    <n v="3"/>
    <x v="0"/>
  </r>
  <r>
    <x v="762"/>
    <x v="762"/>
    <s v="CUST00178"/>
    <x v="8"/>
    <s v="Telangana"/>
    <x v="4"/>
    <s v="Oil"/>
    <s v="Oil Pro"/>
    <n v="1"/>
    <n v="1458"/>
    <n v="0"/>
    <n v="0"/>
    <n v="1458"/>
    <x v="0"/>
    <n v="1"/>
    <x v="0"/>
  </r>
  <r>
    <x v="763"/>
    <x v="763"/>
    <s v="CUST00171"/>
    <x v="7"/>
    <s v="Tamil Nadu"/>
    <x v="1"/>
    <s v="T-Shirt"/>
    <s v="T-Shirt Plus"/>
    <n v="1"/>
    <n v="1854"/>
    <n v="0"/>
    <n v="0"/>
    <n v="1854"/>
    <x v="2"/>
    <n v="3"/>
    <x v="0"/>
  </r>
  <r>
    <x v="764"/>
    <x v="764"/>
    <s v="CUST00299"/>
    <x v="0"/>
    <s v="Tamil Nadu"/>
    <x v="3"/>
    <s v="Shampoo"/>
    <s v="Shampoo Plus"/>
    <n v="1"/>
    <n v="617"/>
    <n v="5"/>
    <n v="30.85"/>
    <n v="586.15"/>
    <x v="2"/>
    <n v="4"/>
    <x v="0"/>
  </r>
  <r>
    <x v="765"/>
    <x v="765"/>
    <s v="CUST00232"/>
    <x v="7"/>
    <s v="Tamil Nadu"/>
    <x v="0"/>
    <s v="Dinner Set"/>
    <s v="Dinner Set Max"/>
    <n v="1"/>
    <n v="4058"/>
    <n v="5"/>
    <n v="202.9"/>
    <n v="3855.1"/>
    <x v="0"/>
    <n v="3"/>
    <x v="0"/>
  </r>
  <r>
    <x v="766"/>
    <x v="766"/>
    <s v="CUST00248"/>
    <x v="2"/>
    <s v="Karnataka"/>
    <x v="0"/>
    <s v="Dinner Set"/>
    <s v="Dinner Set Pro"/>
    <n v="1"/>
    <n v="5701"/>
    <n v="5"/>
    <n v="285.05"/>
    <n v="5415.95"/>
    <x v="0"/>
    <n v="3"/>
    <x v="0"/>
  </r>
  <r>
    <x v="767"/>
    <x v="767"/>
    <s v="CUST00185"/>
    <x v="5"/>
    <s v="Delhi"/>
    <x v="2"/>
    <s v="Laptop"/>
    <s v="Laptop Plus"/>
    <n v="1"/>
    <n v="18451"/>
    <n v="0"/>
    <n v="0"/>
    <n v="18451"/>
    <x v="2"/>
    <n v="3"/>
    <x v="0"/>
  </r>
  <r>
    <x v="768"/>
    <x v="768"/>
    <s v="CUST00214"/>
    <x v="8"/>
    <s v="Telangana"/>
    <x v="0"/>
    <s v="Mixer"/>
    <s v="Mixer Pro"/>
    <n v="1"/>
    <n v="3850"/>
    <n v="5"/>
    <n v="192.5"/>
    <n v="3657.5"/>
    <x v="2"/>
    <n v="3"/>
    <x v="0"/>
  </r>
  <r>
    <x v="769"/>
    <x v="769"/>
    <s v="CUST00256"/>
    <x v="9"/>
    <s v="Maharashtra"/>
    <x v="3"/>
    <s v="Shampoo"/>
    <s v="Shampoo Classic"/>
    <n v="3"/>
    <n v="1147"/>
    <n v="0"/>
    <n v="0"/>
    <n v="3441"/>
    <x v="0"/>
    <n v="2"/>
    <x v="0"/>
  </r>
  <r>
    <x v="770"/>
    <x v="770"/>
    <s v="CUST00145"/>
    <x v="3"/>
    <s v="Tamil Nadu"/>
    <x v="2"/>
    <s v="Mobile"/>
    <s v="Mobile Plus"/>
    <n v="1"/>
    <n v="28701"/>
    <n v="0"/>
    <n v="0"/>
    <n v="28701"/>
    <x v="0"/>
    <n v="4"/>
    <x v="0"/>
  </r>
  <r>
    <x v="771"/>
    <x v="771"/>
    <s v="CUST00288"/>
    <x v="9"/>
    <s v="Maharashtra"/>
    <x v="2"/>
    <s v="Headphones"/>
    <s v="Headphones Lite"/>
    <n v="3"/>
    <n v="13392"/>
    <n v="0"/>
    <n v="0"/>
    <n v="40176"/>
    <x v="3"/>
    <n v="2"/>
    <x v="0"/>
  </r>
  <r>
    <x v="772"/>
    <x v="772"/>
    <s v="CUST00198"/>
    <x v="6"/>
    <s v="Maharashtra"/>
    <x v="3"/>
    <s v="Face Wash"/>
    <s v="Face Wash Max"/>
    <n v="3"/>
    <n v="1304"/>
    <n v="10"/>
    <n v="391.2"/>
    <n v="3520.8"/>
    <x v="0"/>
    <n v="3"/>
    <x v="0"/>
  </r>
  <r>
    <x v="773"/>
    <x v="773"/>
    <s v="CUST00103"/>
    <x v="8"/>
    <s v="Telangana"/>
    <x v="1"/>
    <s v="Watch"/>
    <s v="Watch Classic"/>
    <n v="1"/>
    <n v="1101"/>
    <n v="5"/>
    <n v="55.05"/>
    <n v="1045.95"/>
    <x v="0"/>
    <n v="3"/>
    <x v="0"/>
  </r>
  <r>
    <x v="774"/>
    <x v="774"/>
    <s v="CUST00050"/>
    <x v="9"/>
    <s v="Maharashtra"/>
    <x v="4"/>
    <s v="Spices"/>
    <s v="Spices Max"/>
    <n v="1"/>
    <n v="1005"/>
    <n v="5"/>
    <n v="50.25"/>
    <n v="954.75"/>
    <x v="3"/>
    <n v="1"/>
    <x v="0"/>
  </r>
  <r>
    <x v="775"/>
    <x v="775"/>
    <s v="CUST00014"/>
    <x v="6"/>
    <s v="Maharashtra"/>
    <x v="2"/>
    <s v="Laptop"/>
    <s v="Laptop Classic"/>
    <n v="3"/>
    <n v="16402"/>
    <n v="5"/>
    <n v="2460.3000000000002"/>
    <n v="46745.7"/>
    <x v="4"/>
    <n v="2"/>
    <x v="0"/>
  </r>
  <r>
    <x v="776"/>
    <x v="776"/>
    <s v="CUST00065"/>
    <x v="6"/>
    <s v="Maharashtra"/>
    <x v="2"/>
    <s v="Smart Watch"/>
    <s v="Smart Watch Classic"/>
    <n v="1"/>
    <n v="4061"/>
    <n v="0"/>
    <n v="0"/>
    <n v="4061"/>
    <x v="4"/>
    <n v="4"/>
    <x v="0"/>
  </r>
  <r>
    <x v="777"/>
    <x v="777"/>
    <s v="CUST00247"/>
    <x v="4"/>
    <s v="West Bengal"/>
    <x v="2"/>
    <s v="Mobile"/>
    <s v="Mobile Classic"/>
    <n v="1"/>
    <n v="3974"/>
    <n v="10"/>
    <n v="397.4"/>
    <n v="3576.6"/>
    <x v="3"/>
    <n v="2"/>
    <x v="0"/>
  </r>
  <r>
    <x v="778"/>
    <x v="778"/>
    <s v="CUST00080"/>
    <x v="8"/>
    <s v="Telangana"/>
    <x v="0"/>
    <s v="Bedsheet"/>
    <s v="Bedsheet Plus"/>
    <n v="1"/>
    <n v="850"/>
    <n v="10"/>
    <n v="85"/>
    <n v="765"/>
    <x v="0"/>
    <n v="1"/>
    <x v="0"/>
  </r>
  <r>
    <x v="779"/>
    <x v="779"/>
    <s v="CUST00054"/>
    <x v="7"/>
    <s v="Tamil Nadu"/>
    <x v="2"/>
    <s v="Power Bank"/>
    <s v="Power Bank Plus"/>
    <n v="1"/>
    <n v="8483"/>
    <n v="15"/>
    <n v="1272.45"/>
    <n v="7210.55"/>
    <x v="2"/>
    <n v="6"/>
    <x v="0"/>
  </r>
  <r>
    <x v="780"/>
    <x v="780"/>
    <s v="CUST00225"/>
    <x v="3"/>
    <s v="Tamil Nadu"/>
    <x v="2"/>
    <s v="Smart Watch"/>
    <s v="Smart Watch Lite"/>
    <n v="1"/>
    <n v="12611"/>
    <n v="0"/>
    <n v="0"/>
    <n v="12611"/>
    <x v="3"/>
    <n v="3"/>
    <x v="0"/>
  </r>
  <r>
    <x v="781"/>
    <x v="781"/>
    <s v="CUST00244"/>
    <x v="7"/>
    <s v="Tamil Nadu"/>
    <x v="0"/>
    <s v="Cooker"/>
    <s v="Cooker Pro"/>
    <n v="3"/>
    <n v="5769"/>
    <n v="5"/>
    <n v="865.35"/>
    <n v="16441.650000000001"/>
    <x v="2"/>
    <n v="6"/>
    <x v="0"/>
  </r>
  <r>
    <x v="782"/>
    <x v="782"/>
    <s v="CUST00015"/>
    <x v="8"/>
    <s v="Telangana"/>
    <x v="3"/>
    <s v="Face Wash"/>
    <s v="Face Wash Classic"/>
    <n v="1"/>
    <n v="1471"/>
    <n v="15"/>
    <n v="220.65"/>
    <n v="1250.3499999999999"/>
    <x v="4"/>
    <n v="1"/>
    <x v="0"/>
  </r>
  <r>
    <x v="783"/>
    <x v="783"/>
    <s v="CUST00072"/>
    <x v="7"/>
    <s v="Tamil Nadu"/>
    <x v="3"/>
    <s v="Lipstick"/>
    <s v="Lipstick Pro"/>
    <n v="3"/>
    <n v="1913"/>
    <n v="0"/>
    <n v="0"/>
    <n v="5739"/>
    <x v="2"/>
    <n v="6"/>
    <x v="0"/>
  </r>
  <r>
    <x v="784"/>
    <x v="784"/>
    <s v="CUST00078"/>
    <x v="4"/>
    <s v="West Bengal"/>
    <x v="4"/>
    <s v="Oil"/>
    <s v="Oil Plus"/>
    <n v="2"/>
    <n v="1398"/>
    <n v="5"/>
    <n v="139.80000000000001"/>
    <n v="2656.2"/>
    <x v="3"/>
    <n v="4"/>
    <x v="0"/>
  </r>
  <r>
    <x v="785"/>
    <x v="785"/>
    <s v="CUST00248"/>
    <x v="6"/>
    <s v="Maharashtra"/>
    <x v="3"/>
    <s v="Moisturizer"/>
    <s v="Moisturizer Lite"/>
    <n v="1"/>
    <n v="415"/>
    <n v="5"/>
    <n v="20.75"/>
    <n v="394.25"/>
    <x v="1"/>
    <n v="2"/>
    <x v="0"/>
  </r>
  <r>
    <x v="786"/>
    <x v="786"/>
    <s v="CUST00207"/>
    <x v="2"/>
    <s v="Karnataka"/>
    <x v="2"/>
    <s v="Mobile"/>
    <s v="Mobile Lite"/>
    <n v="1"/>
    <n v="7461"/>
    <n v="5"/>
    <n v="373.05"/>
    <n v="7087.95"/>
    <x v="0"/>
    <n v="3"/>
    <x v="0"/>
  </r>
  <r>
    <x v="787"/>
    <x v="787"/>
    <s v="CUST00054"/>
    <x v="9"/>
    <s v="Maharashtra"/>
    <x v="3"/>
    <s v="Perfume"/>
    <s v="Perfume Pro"/>
    <n v="1"/>
    <n v="1884"/>
    <n v="5"/>
    <n v="94.2"/>
    <n v="1789.8"/>
    <x v="3"/>
    <n v="3"/>
    <x v="0"/>
  </r>
  <r>
    <x v="788"/>
    <x v="788"/>
    <s v="CUST00090"/>
    <x v="4"/>
    <s v="West Bengal"/>
    <x v="2"/>
    <s v="Smart Watch"/>
    <s v="Smart Watch Plus"/>
    <n v="1"/>
    <n v="38103"/>
    <n v="5"/>
    <n v="1905.15"/>
    <n v="36197.85"/>
    <x v="4"/>
    <n v="2"/>
    <x v="0"/>
  </r>
  <r>
    <x v="789"/>
    <x v="789"/>
    <s v="CUST00223"/>
    <x v="1"/>
    <s v="Tamil Nadu"/>
    <x v="1"/>
    <s v="T-Shirt"/>
    <s v="T-Shirt Classic"/>
    <n v="1"/>
    <n v="2067"/>
    <n v="15"/>
    <n v="310.05"/>
    <n v="1756.95"/>
    <x v="3"/>
    <n v="2"/>
    <x v="0"/>
  </r>
  <r>
    <x v="790"/>
    <x v="790"/>
    <s v="CUST00037"/>
    <x v="4"/>
    <s v="West Bengal"/>
    <x v="1"/>
    <s v="Handbag"/>
    <s v="Handbag Plus"/>
    <n v="1"/>
    <n v="4280"/>
    <n v="10"/>
    <n v="428"/>
    <n v="3852"/>
    <x v="4"/>
    <n v="1"/>
    <x v="0"/>
  </r>
  <r>
    <x v="791"/>
    <x v="791"/>
    <s v="CUST00225"/>
    <x v="6"/>
    <s v="Maharashtra"/>
    <x v="3"/>
    <s v="Face Wash"/>
    <s v="Face Wash Classic"/>
    <n v="1"/>
    <n v="391"/>
    <n v="0"/>
    <n v="0"/>
    <n v="391"/>
    <x v="4"/>
    <n v="2"/>
    <x v="0"/>
  </r>
  <r>
    <x v="792"/>
    <x v="792"/>
    <s v="CUST00149"/>
    <x v="8"/>
    <s v="Telangana"/>
    <x v="3"/>
    <s v="Lipstick"/>
    <s v="Lipstick Pro"/>
    <n v="2"/>
    <n v="1244"/>
    <n v="0"/>
    <n v="0"/>
    <n v="2488"/>
    <x v="3"/>
    <n v="3"/>
    <x v="0"/>
  </r>
  <r>
    <x v="793"/>
    <x v="793"/>
    <s v="CUST00205"/>
    <x v="3"/>
    <s v="Tamil Nadu"/>
    <x v="2"/>
    <s v="Power Bank"/>
    <s v="Power Bank Pro"/>
    <n v="1"/>
    <n v="17739"/>
    <n v="0"/>
    <n v="0"/>
    <n v="17739"/>
    <x v="0"/>
    <n v="3"/>
    <x v="0"/>
  </r>
  <r>
    <x v="794"/>
    <x v="794"/>
    <s v="CUST00105"/>
    <x v="1"/>
    <s v="Tamil Nadu"/>
    <x v="0"/>
    <s v="Bedsheet"/>
    <s v="Bedsheet Lite"/>
    <n v="1"/>
    <n v="3133"/>
    <n v="5"/>
    <n v="156.65"/>
    <n v="2976.35"/>
    <x v="4"/>
    <n v="1"/>
    <x v="0"/>
  </r>
  <r>
    <x v="795"/>
    <x v="795"/>
    <s v="CUST00246"/>
    <x v="9"/>
    <s v="Maharashtra"/>
    <x v="0"/>
    <s v="Bedsheet"/>
    <s v="Bedsheet Pro"/>
    <n v="1"/>
    <n v="5627"/>
    <n v="5"/>
    <n v="281.35000000000002"/>
    <n v="5345.65"/>
    <x v="2"/>
    <n v="5"/>
    <x v="0"/>
  </r>
  <r>
    <x v="796"/>
    <x v="796"/>
    <s v="CUST00014"/>
    <x v="5"/>
    <s v="Delhi"/>
    <x v="4"/>
    <s v="Snacks"/>
    <s v="Snacks Plus"/>
    <n v="1"/>
    <n v="842"/>
    <n v="10"/>
    <n v="84.2"/>
    <n v="757.8"/>
    <x v="4"/>
    <n v="2"/>
    <x v="0"/>
  </r>
  <r>
    <x v="797"/>
    <x v="797"/>
    <s v="CUST00282"/>
    <x v="9"/>
    <s v="Maharashtra"/>
    <x v="2"/>
    <s v="Smart Watch"/>
    <s v="Smart Watch Pro"/>
    <n v="2"/>
    <n v="24598"/>
    <n v="15"/>
    <n v="7379.4"/>
    <n v="41816.6"/>
    <x v="0"/>
    <n v="1"/>
    <x v="0"/>
  </r>
  <r>
    <x v="798"/>
    <x v="798"/>
    <s v="CUST00117"/>
    <x v="6"/>
    <s v="Maharashtra"/>
    <x v="4"/>
    <s v="Snacks"/>
    <s v="Snacks Pro"/>
    <n v="3"/>
    <n v="206"/>
    <n v="0"/>
    <n v="0"/>
    <n v="618"/>
    <x v="3"/>
    <n v="2"/>
    <x v="0"/>
  </r>
  <r>
    <x v="799"/>
    <x v="799"/>
    <s v="CUST00180"/>
    <x v="3"/>
    <s v="Tamil Nadu"/>
    <x v="1"/>
    <s v="Shoes"/>
    <s v="Shoes Lite"/>
    <n v="1"/>
    <n v="1402"/>
    <n v="0"/>
    <n v="0"/>
    <n v="1402"/>
    <x v="3"/>
    <n v="2"/>
    <x v="0"/>
  </r>
  <r>
    <x v="800"/>
    <x v="800"/>
    <s v="CUST00113"/>
    <x v="7"/>
    <s v="Tamil Nadu"/>
    <x v="0"/>
    <s v="Cooker"/>
    <s v="Cooker Classic"/>
    <n v="1"/>
    <n v="7615"/>
    <n v="10"/>
    <n v="761.5"/>
    <n v="6853.5"/>
    <x v="3"/>
    <n v="1"/>
    <x v="0"/>
  </r>
  <r>
    <x v="801"/>
    <x v="801"/>
    <s v="CUST00249"/>
    <x v="8"/>
    <s v="Telangana"/>
    <x v="2"/>
    <s v="Laptop"/>
    <s v="Laptop Lite"/>
    <n v="2"/>
    <n v="34643"/>
    <n v="0"/>
    <n v="0"/>
    <n v="69286"/>
    <x v="3"/>
    <n v="4"/>
    <x v="0"/>
  </r>
  <r>
    <x v="802"/>
    <x v="802"/>
    <s v="CUST00019"/>
    <x v="5"/>
    <s v="Delhi"/>
    <x v="3"/>
    <s v="Perfume"/>
    <s v="Perfume Pro"/>
    <n v="1"/>
    <n v="1354"/>
    <n v="5"/>
    <n v="67.7"/>
    <n v="1286.3"/>
    <x v="1"/>
    <n v="1"/>
    <x v="0"/>
  </r>
  <r>
    <x v="803"/>
    <x v="803"/>
    <s v="CUST00197"/>
    <x v="7"/>
    <s v="Tamil Nadu"/>
    <x v="2"/>
    <s v="Smart Watch"/>
    <s v="Smart Watch Plus"/>
    <n v="1"/>
    <n v="15209"/>
    <n v="5"/>
    <n v="760.45"/>
    <n v="14448.55"/>
    <x v="0"/>
    <n v="2"/>
    <x v="0"/>
  </r>
  <r>
    <x v="804"/>
    <x v="804"/>
    <s v="CUST00179"/>
    <x v="0"/>
    <s v="Tamil Nadu"/>
    <x v="4"/>
    <s v="Oil"/>
    <s v="Oil Max"/>
    <n v="2"/>
    <n v="748"/>
    <n v="10"/>
    <n v="149.6"/>
    <n v="1346.4"/>
    <x v="4"/>
    <n v="4"/>
    <x v="0"/>
  </r>
  <r>
    <x v="805"/>
    <x v="805"/>
    <s v="CUST00056"/>
    <x v="1"/>
    <s v="Tamil Nadu"/>
    <x v="3"/>
    <s v="Lipstick"/>
    <s v="Lipstick Classic"/>
    <n v="1"/>
    <n v="482"/>
    <n v="5"/>
    <n v="24.1"/>
    <n v="457.9"/>
    <x v="1"/>
    <n v="2"/>
    <x v="0"/>
  </r>
  <r>
    <x v="806"/>
    <x v="806"/>
    <s v="CUST00144"/>
    <x v="8"/>
    <s v="Telangana"/>
    <x v="2"/>
    <s v="Laptop"/>
    <s v="Laptop Classic"/>
    <n v="1"/>
    <n v="37926"/>
    <n v="5"/>
    <n v="1896.3"/>
    <n v="36029.699999999997"/>
    <x v="4"/>
    <n v="3"/>
    <x v="0"/>
  </r>
  <r>
    <x v="807"/>
    <x v="807"/>
    <s v="CUST00007"/>
    <x v="2"/>
    <s v="Karnataka"/>
    <x v="0"/>
    <s v="Dinner Set"/>
    <s v="Dinner Set Max"/>
    <n v="2"/>
    <n v="4090"/>
    <n v="0"/>
    <n v="0"/>
    <n v="8180"/>
    <x v="0"/>
    <n v="2"/>
    <x v="0"/>
  </r>
  <r>
    <x v="808"/>
    <x v="808"/>
    <s v="CUST00285"/>
    <x v="5"/>
    <s v="Delhi"/>
    <x v="3"/>
    <s v="Face Wash"/>
    <s v="Face Wash Classic"/>
    <n v="3"/>
    <n v="281"/>
    <n v="0"/>
    <n v="0"/>
    <n v="843"/>
    <x v="2"/>
    <n v="3"/>
    <x v="0"/>
  </r>
  <r>
    <x v="809"/>
    <x v="809"/>
    <s v="Unknown"/>
    <x v="9"/>
    <s v="Maharashtra"/>
    <x v="1"/>
    <s v="Handbag"/>
    <s v="Handbag Pro"/>
    <n v="1"/>
    <n v="1909"/>
    <n v="5"/>
    <n v="95.45"/>
    <n v="1813.55"/>
    <x v="0"/>
    <n v="3"/>
    <x v="0"/>
  </r>
  <r>
    <x v="810"/>
    <x v="810"/>
    <s v="CUST00133"/>
    <x v="8"/>
    <s v="Telangana"/>
    <x v="2"/>
    <s v="Headphones"/>
    <s v="Headphones Classic"/>
    <n v="2"/>
    <n v="39859"/>
    <n v="5"/>
    <n v="3985.9"/>
    <n v="75732.100000000006"/>
    <x v="0"/>
    <n v="1"/>
    <x v="0"/>
  </r>
  <r>
    <x v="811"/>
    <x v="811"/>
    <s v="CUST00167"/>
    <x v="3"/>
    <s v="Tamil Nadu"/>
    <x v="0"/>
    <s v="Curtains"/>
    <s v="Curtains Pro"/>
    <n v="1"/>
    <n v="502"/>
    <n v="10"/>
    <n v="50.2"/>
    <n v="451.8"/>
    <x v="0"/>
    <n v="2"/>
    <x v="0"/>
  </r>
  <r>
    <x v="812"/>
    <x v="812"/>
    <s v="CUST00192"/>
    <x v="7"/>
    <s v="Tamil Nadu"/>
    <x v="0"/>
    <s v="Dinner Set"/>
    <s v="Dinner Set Pro"/>
    <n v="1"/>
    <n v="7921"/>
    <n v="0"/>
    <n v="0"/>
    <n v="7921"/>
    <x v="4"/>
    <n v="4"/>
    <x v="0"/>
  </r>
  <r>
    <x v="813"/>
    <x v="813"/>
    <s v="CUST00261"/>
    <x v="3"/>
    <s v="Tamil Nadu"/>
    <x v="0"/>
    <s v="Mixer"/>
    <s v="Mixer Plus"/>
    <n v="2"/>
    <n v="3421"/>
    <n v="0"/>
    <n v="0"/>
    <n v="6842"/>
    <x v="0"/>
    <n v="4"/>
    <x v="0"/>
  </r>
  <r>
    <x v="814"/>
    <x v="814"/>
    <s v="CUST00290"/>
    <x v="1"/>
    <s v="Tamil Nadu"/>
    <x v="4"/>
    <s v="Snacks"/>
    <s v="Snacks Plus"/>
    <n v="1"/>
    <n v="1293"/>
    <n v="5"/>
    <n v="64.650000000000006"/>
    <n v="1228.3499999999999"/>
    <x v="3"/>
    <n v="2"/>
    <x v="0"/>
  </r>
  <r>
    <x v="815"/>
    <x v="815"/>
    <s v="CUST00295"/>
    <x v="8"/>
    <s v="Telangana"/>
    <x v="1"/>
    <s v="Shoes"/>
    <s v="Shoes Lite"/>
    <n v="2"/>
    <n v="2291"/>
    <n v="10"/>
    <n v="458.2"/>
    <n v="4123.8"/>
    <x v="3"/>
    <n v="5"/>
    <x v="0"/>
  </r>
  <r>
    <x v="816"/>
    <x v="816"/>
    <s v="CUST00186"/>
    <x v="2"/>
    <s v="Karnataka"/>
    <x v="0"/>
    <s v="Dinner Set"/>
    <s v="Dinner Set Classic"/>
    <n v="1"/>
    <n v="5257"/>
    <n v="10"/>
    <n v="525.70000000000005"/>
    <n v="4731.3"/>
    <x v="0"/>
    <n v="4"/>
    <x v="0"/>
  </r>
  <r>
    <x v="817"/>
    <x v="817"/>
    <s v="CUST00276"/>
    <x v="5"/>
    <s v="Delhi"/>
    <x v="3"/>
    <s v="Moisturizer"/>
    <s v="Moisturizer Lite"/>
    <n v="1"/>
    <n v="391"/>
    <n v="5"/>
    <n v="19.55"/>
    <n v="371.45"/>
    <x v="3"/>
    <n v="1"/>
    <x v="0"/>
  </r>
  <r>
    <x v="818"/>
    <x v="818"/>
    <s v="CUST00102"/>
    <x v="9"/>
    <s v="Maharashtra"/>
    <x v="3"/>
    <s v="Face Wash"/>
    <s v="Face Wash Lite"/>
    <n v="1"/>
    <n v="1112"/>
    <n v="0"/>
    <n v="0"/>
    <n v="1112"/>
    <x v="0"/>
    <n v="2"/>
    <x v="0"/>
  </r>
  <r>
    <x v="819"/>
    <x v="819"/>
    <s v="CUST00086"/>
    <x v="2"/>
    <s v="Karnataka"/>
    <x v="1"/>
    <s v="Handbag"/>
    <s v="Handbag Classic"/>
    <n v="3"/>
    <n v="3302"/>
    <n v="5"/>
    <n v="495.3"/>
    <n v="9410.7000000000007"/>
    <x v="2"/>
    <n v="2"/>
    <x v="0"/>
  </r>
  <r>
    <x v="820"/>
    <x v="820"/>
    <s v="CUST00056"/>
    <x v="0"/>
    <s v="Tamil Nadu"/>
    <x v="2"/>
    <s v="Headphones"/>
    <s v="Headphones Plus"/>
    <n v="3"/>
    <n v="29975"/>
    <n v="10"/>
    <n v="8992.5"/>
    <n v="80932.5"/>
    <x v="2"/>
    <n v="4"/>
    <x v="0"/>
  </r>
  <r>
    <x v="821"/>
    <x v="821"/>
    <s v="CUST00043"/>
    <x v="9"/>
    <s v="Maharashtra"/>
    <x v="2"/>
    <s v="Power Bank"/>
    <s v="Power Bank Classic"/>
    <n v="1"/>
    <n v="30222"/>
    <n v="5"/>
    <n v="1511.1"/>
    <n v="28710.9"/>
    <x v="4"/>
    <n v="4"/>
    <x v="0"/>
  </r>
  <r>
    <x v="822"/>
    <x v="822"/>
    <s v="CUST00119"/>
    <x v="8"/>
    <s v="Telangana"/>
    <x v="3"/>
    <s v="Lipstick"/>
    <s v="Lipstick Pro"/>
    <n v="1"/>
    <n v="1023"/>
    <n v="5"/>
    <n v="51.15"/>
    <n v="971.85"/>
    <x v="0"/>
    <n v="2"/>
    <x v="0"/>
  </r>
  <r>
    <x v="823"/>
    <x v="823"/>
    <s v="CUST00022"/>
    <x v="5"/>
    <s v="Delhi"/>
    <x v="3"/>
    <s v="Moisturizer"/>
    <s v="Moisturizer Max"/>
    <n v="1"/>
    <n v="733"/>
    <n v="0"/>
    <n v="0"/>
    <n v="733"/>
    <x v="0"/>
    <n v="2"/>
    <x v="0"/>
  </r>
  <r>
    <x v="824"/>
    <x v="824"/>
    <s v="CUST00148"/>
    <x v="8"/>
    <s v="Telangana"/>
    <x v="4"/>
    <s v="Rice"/>
    <s v="Rice Lite"/>
    <n v="1"/>
    <n v="1091"/>
    <n v="10"/>
    <n v="109.1"/>
    <n v="981.9"/>
    <x v="0"/>
    <n v="4"/>
    <x v="0"/>
  </r>
  <r>
    <x v="825"/>
    <x v="825"/>
    <s v="CUST00276"/>
    <x v="5"/>
    <s v="Delhi"/>
    <x v="2"/>
    <s v="Smart Watch"/>
    <s v="Smart Watch Pro"/>
    <n v="1"/>
    <n v="18970"/>
    <n v="0"/>
    <n v="0"/>
    <n v="18970"/>
    <x v="3"/>
    <n v="4"/>
    <x v="0"/>
  </r>
  <r>
    <x v="826"/>
    <x v="826"/>
    <s v="CUST00062"/>
    <x v="7"/>
    <s v="Tamil Nadu"/>
    <x v="3"/>
    <s v="Perfume"/>
    <s v="Perfume Max"/>
    <n v="1"/>
    <n v="1519"/>
    <n v="20"/>
    <n v="303.8"/>
    <n v="1215.2"/>
    <x v="2"/>
    <n v="7"/>
    <x v="0"/>
  </r>
  <r>
    <x v="827"/>
    <x v="827"/>
    <s v="CUST00168"/>
    <x v="9"/>
    <s v="Maharashtra"/>
    <x v="4"/>
    <s v="Oil"/>
    <s v="Oil Max"/>
    <n v="1"/>
    <n v="694"/>
    <n v="15"/>
    <n v="104.1"/>
    <n v="589.9"/>
    <x v="0"/>
    <n v="1"/>
    <x v="0"/>
  </r>
  <r>
    <x v="828"/>
    <x v="828"/>
    <s v="CUST00267"/>
    <x v="4"/>
    <s v="West Bengal"/>
    <x v="1"/>
    <s v="Handbag"/>
    <s v="Handbag Pro"/>
    <n v="3"/>
    <n v="2414"/>
    <n v="15"/>
    <n v="1086.3"/>
    <n v="6155.7"/>
    <x v="0"/>
    <n v="2"/>
    <x v="0"/>
  </r>
  <r>
    <x v="829"/>
    <x v="829"/>
    <s v="CUST00078"/>
    <x v="7"/>
    <s v="Tamil Nadu"/>
    <x v="1"/>
    <s v="Watch"/>
    <s v="Watch Max"/>
    <n v="1"/>
    <n v="4629"/>
    <n v="0"/>
    <n v="0"/>
    <n v="4629"/>
    <x v="0"/>
    <n v="3"/>
    <x v="0"/>
  </r>
  <r>
    <x v="830"/>
    <x v="830"/>
    <s v="CUST00092"/>
    <x v="0"/>
    <s v="Tamil Nadu"/>
    <x v="3"/>
    <s v="Lipstick"/>
    <s v="Lipstick Classic"/>
    <n v="1"/>
    <n v="864"/>
    <n v="5"/>
    <n v="43.2"/>
    <n v="820.8"/>
    <x v="1"/>
    <n v="4"/>
    <x v="0"/>
  </r>
  <r>
    <x v="831"/>
    <x v="831"/>
    <s v="CUST00150"/>
    <x v="7"/>
    <s v="Tamil Nadu"/>
    <x v="3"/>
    <s v="Perfume"/>
    <s v="Perfume Classic"/>
    <n v="1"/>
    <n v="598"/>
    <n v="20"/>
    <n v="119.6"/>
    <n v="478.4"/>
    <x v="2"/>
    <n v="7"/>
    <x v="0"/>
  </r>
  <r>
    <x v="832"/>
    <x v="832"/>
    <s v="CUST00167"/>
    <x v="5"/>
    <s v="Delhi"/>
    <x v="3"/>
    <s v="Face Wash"/>
    <s v="Face Wash Lite"/>
    <n v="1"/>
    <n v="1577"/>
    <n v="10"/>
    <n v="157.69999999999999"/>
    <n v="1419.3"/>
    <x v="2"/>
    <n v="3"/>
    <x v="0"/>
  </r>
  <r>
    <x v="833"/>
    <x v="833"/>
    <s v="CUST00211"/>
    <x v="5"/>
    <s v="Delhi"/>
    <x v="2"/>
    <s v="Headphones"/>
    <s v="Headphones Max"/>
    <n v="1"/>
    <n v="27304"/>
    <n v="0"/>
    <n v="0"/>
    <n v="27304"/>
    <x v="0"/>
    <n v="2"/>
    <x v="0"/>
  </r>
  <r>
    <x v="834"/>
    <x v="834"/>
    <s v="CUST00218"/>
    <x v="6"/>
    <s v="Maharashtra"/>
    <x v="0"/>
    <s v="Bedsheet"/>
    <s v="Bedsheet Max"/>
    <n v="1"/>
    <n v="5512"/>
    <n v="5"/>
    <n v="275.60000000000002"/>
    <n v="5236.3999999999996"/>
    <x v="3"/>
    <n v="3"/>
    <x v="0"/>
  </r>
  <r>
    <x v="835"/>
    <x v="835"/>
    <s v="CUST00275"/>
    <x v="5"/>
    <s v="Delhi"/>
    <x v="2"/>
    <s v="Power Bank"/>
    <s v="Power Bank Classic"/>
    <n v="1"/>
    <n v="35874"/>
    <n v="0"/>
    <n v="0"/>
    <n v="35874"/>
    <x v="2"/>
    <n v="5"/>
    <x v="0"/>
  </r>
  <r>
    <x v="836"/>
    <x v="836"/>
    <s v="CUST00033"/>
    <x v="0"/>
    <s v="Tamil Nadu"/>
    <x v="4"/>
    <s v="Dal"/>
    <s v="Dal Max"/>
    <n v="1"/>
    <n v="519"/>
    <n v="0"/>
    <n v="0"/>
    <n v="519"/>
    <x v="0"/>
    <n v="2"/>
    <x v="0"/>
  </r>
  <r>
    <x v="837"/>
    <x v="837"/>
    <s v="CUST00111"/>
    <x v="1"/>
    <s v="Tamil Nadu"/>
    <x v="1"/>
    <s v="T-Shirt"/>
    <s v="T-Shirt Pro"/>
    <n v="2"/>
    <n v="1239"/>
    <n v="0"/>
    <n v="0"/>
    <n v="2478"/>
    <x v="0"/>
    <n v="1"/>
    <x v="0"/>
  </r>
  <r>
    <x v="838"/>
    <x v="838"/>
    <s v="CUST00127"/>
    <x v="0"/>
    <s v="Tamil Nadu"/>
    <x v="0"/>
    <s v="Bedsheet"/>
    <s v="Bedsheet Plus"/>
    <n v="1"/>
    <n v="7361"/>
    <n v="0"/>
    <n v="0"/>
    <n v="7361"/>
    <x v="2"/>
    <n v="4"/>
    <x v="0"/>
  </r>
  <r>
    <x v="839"/>
    <x v="839"/>
    <s v="CUST00278"/>
    <x v="3"/>
    <s v="Tamil Nadu"/>
    <x v="1"/>
    <s v="T-Shirt"/>
    <s v="T-Shirt Classic"/>
    <n v="2"/>
    <n v="2957"/>
    <n v="5"/>
    <n v="295.7"/>
    <n v="5618.3"/>
    <x v="0"/>
    <n v="2"/>
    <x v="0"/>
  </r>
  <r>
    <x v="840"/>
    <x v="840"/>
    <s v="CUST00052"/>
    <x v="8"/>
    <s v="Telangana"/>
    <x v="4"/>
    <s v="Spices"/>
    <s v="Spices Plus"/>
    <n v="1"/>
    <n v="620"/>
    <n v="5"/>
    <n v="31"/>
    <n v="589"/>
    <x v="2"/>
    <n v="4"/>
    <x v="0"/>
  </r>
  <r>
    <x v="841"/>
    <x v="841"/>
    <s v="CUST00255"/>
    <x v="6"/>
    <s v="Maharashtra"/>
    <x v="0"/>
    <s v="Dinner Set"/>
    <s v="Dinner Set Pro"/>
    <n v="1"/>
    <n v="3555"/>
    <n v="5"/>
    <n v="177.75"/>
    <n v="3377.25"/>
    <x v="3"/>
    <n v="1"/>
    <x v="0"/>
  </r>
  <r>
    <x v="842"/>
    <x v="842"/>
    <s v="CUST00171"/>
    <x v="9"/>
    <s v="Maharashtra"/>
    <x v="2"/>
    <s v="Mobile"/>
    <s v="Mobile Classic"/>
    <n v="1"/>
    <n v="32600"/>
    <n v="10"/>
    <n v="3260"/>
    <n v="29340"/>
    <x v="3"/>
    <n v="3"/>
    <x v="0"/>
  </r>
  <r>
    <x v="843"/>
    <x v="843"/>
    <s v="CUST00120"/>
    <x v="0"/>
    <s v="Tamil Nadu"/>
    <x v="3"/>
    <s v="Lipstick"/>
    <s v="Lipstick Plus"/>
    <n v="1"/>
    <n v="808"/>
    <n v="5"/>
    <n v="40.4"/>
    <n v="767.6"/>
    <x v="3"/>
    <n v="1"/>
    <x v="0"/>
  </r>
  <r>
    <x v="844"/>
    <x v="844"/>
    <s v="CUST00108"/>
    <x v="1"/>
    <s v="Tamil Nadu"/>
    <x v="3"/>
    <s v="Moisturizer"/>
    <s v="Moisturizer Plus"/>
    <n v="1"/>
    <n v="1601"/>
    <n v="5"/>
    <n v="80.05"/>
    <n v="1520.95"/>
    <x v="2"/>
    <n v="8"/>
    <x v="1"/>
  </r>
  <r>
    <x v="845"/>
    <x v="845"/>
    <s v="CUST00218"/>
    <x v="2"/>
    <s v="Karnataka"/>
    <x v="3"/>
    <s v="Shampoo"/>
    <s v="Shampoo Pro"/>
    <n v="1"/>
    <n v="1046"/>
    <n v="0"/>
    <n v="0"/>
    <n v="1046"/>
    <x v="3"/>
    <n v="2"/>
    <x v="0"/>
  </r>
  <r>
    <x v="846"/>
    <x v="846"/>
    <s v="CUST00250"/>
    <x v="9"/>
    <s v="Maharashtra"/>
    <x v="4"/>
    <s v="Spices"/>
    <s v="Spices Plus"/>
    <n v="1"/>
    <n v="1435"/>
    <n v="0"/>
    <n v="0"/>
    <n v="1435"/>
    <x v="0"/>
    <n v="4"/>
    <x v="0"/>
  </r>
  <r>
    <x v="847"/>
    <x v="847"/>
    <s v="CUST00085"/>
    <x v="9"/>
    <s v="Maharashtra"/>
    <x v="0"/>
    <s v="Dinner Set"/>
    <s v="Dinner Set Lite"/>
    <n v="2"/>
    <n v="5252"/>
    <n v="5"/>
    <n v="525.20000000000005"/>
    <n v="9978.7999999999993"/>
    <x v="2"/>
    <n v="5"/>
    <x v="0"/>
  </r>
  <r>
    <x v="848"/>
    <x v="848"/>
    <s v="CUST00085"/>
    <x v="1"/>
    <s v="Tamil Nadu"/>
    <x v="3"/>
    <s v="Face Wash"/>
    <s v="Face Wash Max"/>
    <n v="1"/>
    <n v="161"/>
    <n v="10"/>
    <n v="16.100000000000001"/>
    <n v="144.9"/>
    <x v="0"/>
    <n v="1"/>
    <x v="0"/>
  </r>
  <r>
    <x v="849"/>
    <x v="849"/>
    <s v="CUST00170"/>
    <x v="2"/>
    <s v="Karnataka"/>
    <x v="2"/>
    <s v="Power Bank"/>
    <s v="Power Bank Plus"/>
    <n v="1"/>
    <n v="4875"/>
    <n v="5"/>
    <n v="243.75"/>
    <n v="4631.25"/>
    <x v="0"/>
    <n v="2"/>
    <x v="0"/>
  </r>
  <r>
    <x v="850"/>
    <x v="850"/>
    <s v="CUST00219"/>
    <x v="3"/>
    <s v="Tamil Nadu"/>
    <x v="0"/>
    <s v="Cooker"/>
    <s v="Cooker Classic"/>
    <n v="2"/>
    <n v="4732"/>
    <n v="0"/>
    <n v="0"/>
    <n v="9464"/>
    <x v="4"/>
    <n v="1"/>
    <x v="0"/>
  </r>
  <r>
    <x v="851"/>
    <x v="851"/>
    <s v="CUST00144"/>
    <x v="9"/>
    <s v="Maharashtra"/>
    <x v="0"/>
    <s v="Dinner Set"/>
    <s v="Dinner Set Pro"/>
    <n v="1"/>
    <n v="3004"/>
    <n v="10"/>
    <n v="300.39999999999998"/>
    <n v="2703.6"/>
    <x v="1"/>
    <n v="3"/>
    <x v="0"/>
  </r>
  <r>
    <x v="852"/>
    <x v="852"/>
    <s v="CUST00243"/>
    <x v="5"/>
    <s v="Delhi"/>
    <x v="1"/>
    <s v="T-Shirt"/>
    <s v="T-Shirt Lite"/>
    <n v="3"/>
    <n v="1600"/>
    <n v="15"/>
    <n v="720"/>
    <n v="4080"/>
    <x v="0"/>
    <n v="4"/>
    <x v="0"/>
  </r>
  <r>
    <x v="853"/>
    <x v="853"/>
    <s v="CUST00071"/>
    <x v="1"/>
    <s v="Tamil Nadu"/>
    <x v="3"/>
    <s v="Perfume"/>
    <s v="Perfume Plus"/>
    <n v="1"/>
    <n v="1297"/>
    <n v="5"/>
    <n v="64.849999999999994"/>
    <n v="1232.1500000000001"/>
    <x v="3"/>
    <n v="2"/>
    <x v="0"/>
  </r>
  <r>
    <x v="854"/>
    <x v="854"/>
    <s v="CUST00268"/>
    <x v="4"/>
    <s v="West Bengal"/>
    <x v="4"/>
    <s v="Rice"/>
    <s v="Rice Classic"/>
    <n v="2"/>
    <n v="945"/>
    <n v="5"/>
    <n v="94.5"/>
    <n v="1795.5"/>
    <x v="3"/>
    <n v="3"/>
    <x v="0"/>
  </r>
  <r>
    <x v="855"/>
    <x v="855"/>
    <s v="CUST00062"/>
    <x v="1"/>
    <s v="Tamil Nadu"/>
    <x v="3"/>
    <s v="Lipstick"/>
    <s v="Lipstick Lite"/>
    <n v="1"/>
    <n v="1522"/>
    <n v="10"/>
    <n v="152.19999999999999"/>
    <n v="1369.8"/>
    <x v="0"/>
    <n v="3"/>
    <x v="0"/>
  </r>
  <r>
    <x v="856"/>
    <x v="856"/>
    <s v="CUST00196"/>
    <x v="4"/>
    <s v="West Bengal"/>
    <x v="1"/>
    <s v="T-Shirt"/>
    <s v="T-Shirt Lite"/>
    <n v="1"/>
    <n v="1996"/>
    <n v="5"/>
    <n v="99.8"/>
    <n v="1896.2"/>
    <x v="2"/>
    <n v="5"/>
    <x v="0"/>
  </r>
  <r>
    <x v="857"/>
    <x v="857"/>
    <s v="CUST00140"/>
    <x v="0"/>
    <s v="Tamil Nadu"/>
    <x v="0"/>
    <s v="Curtains"/>
    <s v="Curtains Plus"/>
    <n v="1"/>
    <n v="5422"/>
    <n v="15"/>
    <n v="813.3"/>
    <n v="4608.7"/>
    <x v="2"/>
    <n v="5"/>
    <x v="0"/>
  </r>
  <r>
    <x v="858"/>
    <x v="858"/>
    <s v="CUST00233"/>
    <x v="7"/>
    <s v="Tamil Nadu"/>
    <x v="1"/>
    <s v="Watch"/>
    <s v="Watch Classic"/>
    <n v="2"/>
    <n v="3427"/>
    <n v="10"/>
    <n v="685.4"/>
    <n v="6168.6"/>
    <x v="0"/>
    <n v="4"/>
    <x v="0"/>
  </r>
  <r>
    <x v="859"/>
    <x v="859"/>
    <s v="CUST00215"/>
    <x v="2"/>
    <s v="Karnataka"/>
    <x v="2"/>
    <s v="Smart Watch"/>
    <s v="Smart Watch Pro"/>
    <n v="1"/>
    <n v="36157"/>
    <n v="10"/>
    <n v="3615.7"/>
    <n v="32541.3"/>
    <x v="0"/>
    <n v="4"/>
    <x v="0"/>
  </r>
  <r>
    <x v="860"/>
    <x v="860"/>
    <s v="CUST00087"/>
    <x v="3"/>
    <s v="Tamil Nadu"/>
    <x v="0"/>
    <s v="Dinner Set"/>
    <s v="Dinner Set Pro"/>
    <n v="3"/>
    <n v="7162"/>
    <n v="0"/>
    <n v="0"/>
    <n v="21486"/>
    <x v="0"/>
    <n v="3"/>
    <x v="0"/>
  </r>
  <r>
    <x v="861"/>
    <x v="861"/>
    <s v="CUST00137"/>
    <x v="2"/>
    <s v="Karnataka"/>
    <x v="1"/>
    <s v="Watch"/>
    <s v="Watch Pro"/>
    <n v="1"/>
    <n v="4540"/>
    <n v="10"/>
    <n v="454"/>
    <n v="4086"/>
    <x v="2"/>
    <n v="2"/>
    <x v="0"/>
  </r>
  <r>
    <x v="862"/>
    <x v="862"/>
    <s v="CUST00061"/>
    <x v="4"/>
    <s v="West Bengal"/>
    <x v="3"/>
    <s v="Moisturizer"/>
    <s v="Moisturizer Pro"/>
    <n v="1"/>
    <n v="335"/>
    <n v="10"/>
    <n v="33.5"/>
    <n v="301.5"/>
    <x v="0"/>
    <n v="3"/>
    <x v="0"/>
  </r>
  <r>
    <x v="863"/>
    <x v="863"/>
    <s v="CUST00087"/>
    <x v="0"/>
    <s v="Tamil Nadu"/>
    <x v="1"/>
    <s v="Shoes"/>
    <s v="Shoes Plus"/>
    <n v="1"/>
    <n v="2921"/>
    <n v="15"/>
    <n v="438.15"/>
    <n v="2482.85"/>
    <x v="2"/>
    <n v="4"/>
    <x v="0"/>
  </r>
  <r>
    <x v="864"/>
    <x v="864"/>
    <s v="CUST00028"/>
    <x v="6"/>
    <s v="Maharashtra"/>
    <x v="0"/>
    <s v="Mixer"/>
    <s v="Mixer Max"/>
    <n v="1"/>
    <n v="2151"/>
    <n v="0"/>
    <n v="0"/>
    <n v="2151"/>
    <x v="0"/>
    <n v="5"/>
    <x v="0"/>
  </r>
  <r>
    <x v="865"/>
    <x v="865"/>
    <s v="CUST00136"/>
    <x v="2"/>
    <s v="Karnataka"/>
    <x v="3"/>
    <s v="Lipstick"/>
    <s v="Lipstick Classic"/>
    <n v="1"/>
    <n v="1442"/>
    <n v="15"/>
    <n v="216.3"/>
    <n v="1225.7"/>
    <x v="0"/>
    <n v="4"/>
    <x v="0"/>
  </r>
  <r>
    <x v="866"/>
    <x v="866"/>
    <s v="CUST00080"/>
    <x v="1"/>
    <s v="Tamil Nadu"/>
    <x v="4"/>
    <s v="Dal"/>
    <s v="Dal Plus"/>
    <n v="1"/>
    <n v="1081"/>
    <n v="5"/>
    <n v="54.05"/>
    <n v="1026.95"/>
    <x v="2"/>
    <n v="5"/>
    <x v="0"/>
  </r>
  <r>
    <x v="867"/>
    <x v="867"/>
    <s v="CUST00133"/>
    <x v="5"/>
    <s v="Delhi"/>
    <x v="3"/>
    <s v="Lipstick"/>
    <s v="Lipstick Pro"/>
    <n v="3"/>
    <n v="436"/>
    <n v="5"/>
    <n v="65.400000000000006"/>
    <n v="1242.5999999999999"/>
    <x v="3"/>
    <n v="2"/>
    <x v="0"/>
  </r>
  <r>
    <x v="868"/>
    <x v="868"/>
    <s v="CUST00018"/>
    <x v="4"/>
    <s v="West Bengal"/>
    <x v="2"/>
    <s v="Headphones"/>
    <s v="Headphones Pro"/>
    <n v="1"/>
    <n v="31662"/>
    <n v="0"/>
    <n v="0"/>
    <n v="31662"/>
    <x v="3"/>
    <n v="2"/>
    <x v="0"/>
  </r>
  <r>
    <x v="869"/>
    <x v="869"/>
    <s v="CUST00096"/>
    <x v="0"/>
    <s v="Tamil Nadu"/>
    <x v="3"/>
    <s v="Moisturizer"/>
    <s v="Moisturizer Plus"/>
    <n v="1"/>
    <n v="1858"/>
    <n v="0"/>
    <n v="0"/>
    <n v="1858"/>
    <x v="3"/>
    <n v="2"/>
    <x v="0"/>
  </r>
  <r>
    <x v="870"/>
    <x v="870"/>
    <s v="CUST00206"/>
    <x v="8"/>
    <s v="Telangana"/>
    <x v="2"/>
    <s v="Laptop"/>
    <s v="Laptop Classic"/>
    <n v="1"/>
    <n v="28411"/>
    <n v="0"/>
    <n v="0"/>
    <n v="28411"/>
    <x v="3"/>
    <n v="4"/>
    <x v="0"/>
  </r>
  <r>
    <x v="871"/>
    <x v="871"/>
    <s v="CUST00269"/>
    <x v="5"/>
    <s v="Delhi"/>
    <x v="4"/>
    <s v="Dal"/>
    <s v="Dal Lite"/>
    <n v="1"/>
    <n v="339"/>
    <n v="15"/>
    <n v="50.85"/>
    <n v="288.14999999999998"/>
    <x v="3"/>
    <n v="2"/>
    <x v="0"/>
  </r>
  <r>
    <x v="872"/>
    <x v="872"/>
    <s v="CUST00076"/>
    <x v="5"/>
    <s v="Delhi"/>
    <x v="1"/>
    <s v="Shoes"/>
    <s v="Shoes Max"/>
    <n v="1"/>
    <n v="2065"/>
    <n v="0"/>
    <n v="0"/>
    <n v="2065"/>
    <x v="4"/>
    <n v="3"/>
    <x v="0"/>
  </r>
  <r>
    <x v="873"/>
    <x v="873"/>
    <s v="CUST00245"/>
    <x v="9"/>
    <s v="Maharashtra"/>
    <x v="0"/>
    <s v="Bedsheet"/>
    <s v="Bedsheet Plus"/>
    <n v="1"/>
    <n v="7777"/>
    <n v="5"/>
    <n v="388.85"/>
    <n v="7388.15"/>
    <x v="3"/>
    <n v="2"/>
    <x v="0"/>
  </r>
  <r>
    <x v="874"/>
    <x v="874"/>
    <s v="CUST00199"/>
    <x v="9"/>
    <s v="Maharashtra"/>
    <x v="0"/>
    <s v="Mixer"/>
    <s v="Mixer Plus"/>
    <n v="2"/>
    <n v="5190"/>
    <n v="0"/>
    <n v="0"/>
    <n v="10380"/>
    <x v="3"/>
    <n v="3"/>
    <x v="0"/>
  </r>
  <r>
    <x v="875"/>
    <x v="875"/>
    <s v="CUST00014"/>
    <x v="5"/>
    <s v="Delhi"/>
    <x v="4"/>
    <s v="Dal"/>
    <s v="Dal Lite"/>
    <n v="1"/>
    <n v="1300"/>
    <n v="5"/>
    <n v="65"/>
    <n v="1235"/>
    <x v="3"/>
    <n v="1"/>
    <x v="0"/>
  </r>
  <r>
    <x v="876"/>
    <x v="876"/>
    <s v="CUST00071"/>
    <x v="7"/>
    <s v="Tamil Nadu"/>
    <x v="1"/>
    <s v="T-Shirt"/>
    <s v="T-Shirt Lite"/>
    <n v="1"/>
    <n v="3181"/>
    <n v="5"/>
    <n v="159.05000000000001"/>
    <n v="3021.95"/>
    <x v="0"/>
    <n v="2"/>
    <x v="0"/>
  </r>
  <r>
    <x v="877"/>
    <x v="877"/>
    <s v="CUST00018"/>
    <x v="8"/>
    <s v="Telangana"/>
    <x v="3"/>
    <s v="Shampoo"/>
    <s v="Shampoo Lite"/>
    <n v="1"/>
    <n v="1801"/>
    <n v="5"/>
    <n v="90.05"/>
    <n v="1710.95"/>
    <x v="2"/>
    <n v="4"/>
    <x v="0"/>
  </r>
  <r>
    <x v="878"/>
    <x v="878"/>
    <s v="CUST00083"/>
    <x v="4"/>
    <s v="West Bengal"/>
    <x v="1"/>
    <s v="Handbag"/>
    <s v="Handbag Classic"/>
    <n v="1"/>
    <n v="494"/>
    <n v="5"/>
    <n v="24.7"/>
    <n v="469.3"/>
    <x v="2"/>
    <n v="3"/>
    <x v="0"/>
  </r>
  <r>
    <x v="879"/>
    <x v="879"/>
    <s v="CUST00060"/>
    <x v="3"/>
    <s v="Tamil Nadu"/>
    <x v="3"/>
    <s v="Moisturizer"/>
    <s v="Moisturizer Max"/>
    <n v="2"/>
    <n v="378"/>
    <n v="20"/>
    <n v="151.19999999999999"/>
    <n v="604.79999999999995"/>
    <x v="3"/>
    <n v="2"/>
    <x v="0"/>
  </r>
  <r>
    <x v="880"/>
    <x v="880"/>
    <s v="CUST00041"/>
    <x v="9"/>
    <s v="Maharashtra"/>
    <x v="2"/>
    <s v="Headphones"/>
    <s v="Headphones Classic"/>
    <n v="1"/>
    <n v="34244"/>
    <n v="0"/>
    <n v="0"/>
    <n v="34244"/>
    <x v="0"/>
    <n v="2"/>
    <x v="0"/>
  </r>
  <r>
    <x v="881"/>
    <x v="881"/>
    <s v="CUST00026"/>
    <x v="3"/>
    <s v="Tamil Nadu"/>
    <x v="0"/>
    <s v="Cooker"/>
    <s v="Cooker Plus"/>
    <n v="1"/>
    <n v="4746"/>
    <n v="0"/>
    <n v="0"/>
    <n v="4746"/>
    <x v="3"/>
    <n v="2"/>
    <x v="0"/>
  </r>
  <r>
    <x v="882"/>
    <x v="882"/>
    <s v="CUST00058"/>
    <x v="4"/>
    <s v="West Bengal"/>
    <x v="2"/>
    <s v="Power Bank"/>
    <s v="Power Bank Plus"/>
    <n v="1"/>
    <n v="6008"/>
    <n v="10"/>
    <n v="600.79999999999995"/>
    <n v="5407.2"/>
    <x v="3"/>
    <n v="2"/>
    <x v="0"/>
  </r>
  <r>
    <x v="883"/>
    <x v="883"/>
    <s v="CUST00125"/>
    <x v="1"/>
    <s v="Tamil Nadu"/>
    <x v="4"/>
    <s v="Spices"/>
    <s v="Spices Pro"/>
    <n v="1"/>
    <n v="1356"/>
    <n v="15"/>
    <n v="203.4"/>
    <n v="1152.5999999999999"/>
    <x v="0"/>
    <n v="3"/>
    <x v="0"/>
  </r>
  <r>
    <x v="884"/>
    <x v="884"/>
    <s v="CUST00173"/>
    <x v="8"/>
    <s v="Telangana"/>
    <x v="3"/>
    <s v="Perfume"/>
    <s v="Perfume Pro"/>
    <n v="1"/>
    <n v="1037"/>
    <n v="10"/>
    <n v="103.7"/>
    <n v="933.3"/>
    <x v="4"/>
    <n v="5"/>
    <x v="0"/>
  </r>
  <r>
    <x v="885"/>
    <x v="885"/>
    <s v="CUST00264"/>
    <x v="1"/>
    <s v="Tamil Nadu"/>
    <x v="1"/>
    <s v="T-Shirt"/>
    <s v="T-Shirt Max"/>
    <n v="1"/>
    <n v="3979"/>
    <n v="10"/>
    <n v="397.9"/>
    <n v="3581.1"/>
    <x v="0"/>
    <n v="3"/>
    <x v="0"/>
  </r>
  <r>
    <x v="886"/>
    <x v="886"/>
    <s v="CUST00205"/>
    <x v="9"/>
    <s v="Maharashtra"/>
    <x v="0"/>
    <s v="Cooker"/>
    <s v="Cooker Pro"/>
    <n v="1"/>
    <n v="5683"/>
    <n v="0"/>
    <n v="0"/>
    <n v="5683"/>
    <x v="4"/>
    <n v="5"/>
    <x v="0"/>
  </r>
  <r>
    <x v="887"/>
    <x v="887"/>
    <s v="CUST00050"/>
    <x v="5"/>
    <s v="Delhi"/>
    <x v="1"/>
    <s v="T-Shirt"/>
    <s v="T-Shirt Max"/>
    <n v="1"/>
    <n v="4173"/>
    <n v="5"/>
    <n v="208.65"/>
    <n v="3964.35"/>
    <x v="3"/>
    <n v="2"/>
    <x v="0"/>
  </r>
  <r>
    <x v="888"/>
    <x v="888"/>
    <s v="CUST00007"/>
    <x v="4"/>
    <s v="West Bengal"/>
    <x v="0"/>
    <s v="Cooker"/>
    <s v="Cooker Max"/>
    <n v="2"/>
    <n v="7298"/>
    <n v="0"/>
    <n v="0"/>
    <n v="14596"/>
    <x v="4"/>
    <n v="3"/>
    <x v="0"/>
  </r>
  <r>
    <x v="889"/>
    <x v="889"/>
    <s v="CUST00293"/>
    <x v="2"/>
    <s v="Karnataka"/>
    <x v="3"/>
    <s v="Moisturizer"/>
    <s v="Moisturizer Max"/>
    <n v="1"/>
    <n v="747"/>
    <n v="5"/>
    <n v="37.35"/>
    <n v="709.65"/>
    <x v="3"/>
    <n v="2"/>
    <x v="0"/>
  </r>
  <r>
    <x v="890"/>
    <x v="890"/>
    <s v="CUST00086"/>
    <x v="3"/>
    <s v="Tamil Nadu"/>
    <x v="0"/>
    <s v="Dinner Set"/>
    <s v="Dinner Set Plus"/>
    <n v="1"/>
    <n v="4858"/>
    <n v="20"/>
    <n v="971.6"/>
    <n v="3886.4"/>
    <x v="3"/>
    <n v="3"/>
    <x v="0"/>
  </r>
  <r>
    <x v="891"/>
    <x v="891"/>
    <s v="CUST00064"/>
    <x v="2"/>
    <s v="Karnataka"/>
    <x v="3"/>
    <s v="Shampoo"/>
    <s v="Shampoo Lite"/>
    <n v="3"/>
    <n v="1921"/>
    <n v="10"/>
    <n v="576.29999999999995"/>
    <n v="5186.7"/>
    <x v="1"/>
    <n v="5"/>
    <x v="0"/>
  </r>
  <r>
    <x v="892"/>
    <x v="892"/>
    <s v="CUST00210"/>
    <x v="4"/>
    <s v="West Bengal"/>
    <x v="1"/>
    <s v="Watch"/>
    <s v="Watch Classic"/>
    <n v="1"/>
    <n v="1265"/>
    <n v="20"/>
    <n v="253"/>
    <n v="1012"/>
    <x v="2"/>
    <n v="3"/>
    <x v="0"/>
  </r>
  <r>
    <x v="893"/>
    <x v="893"/>
    <s v="CUST00116"/>
    <x v="6"/>
    <s v="Maharashtra"/>
    <x v="3"/>
    <s v="Perfume"/>
    <s v="Perfume Max"/>
    <n v="2"/>
    <n v="1938"/>
    <n v="5"/>
    <n v="193.8"/>
    <n v="3682.2"/>
    <x v="0"/>
    <n v="4"/>
    <x v="0"/>
  </r>
  <r>
    <x v="894"/>
    <x v="894"/>
    <s v="CUST00089"/>
    <x v="2"/>
    <s v="Karnataka"/>
    <x v="3"/>
    <s v="Moisturizer"/>
    <s v="Moisturizer Plus"/>
    <n v="3"/>
    <n v="209"/>
    <n v="0"/>
    <n v="0"/>
    <n v="627"/>
    <x v="4"/>
    <n v="3"/>
    <x v="0"/>
  </r>
  <r>
    <x v="895"/>
    <x v="895"/>
    <s v="CUST00293"/>
    <x v="6"/>
    <s v="Maharashtra"/>
    <x v="2"/>
    <s v="Headphones"/>
    <s v="Headphones Classic"/>
    <n v="1"/>
    <n v="37810"/>
    <n v="0"/>
    <n v="0"/>
    <n v="37810"/>
    <x v="4"/>
    <n v="3"/>
    <x v="0"/>
  </r>
  <r>
    <x v="896"/>
    <x v="896"/>
    <s v="CUST00283"/>
    <x v="1"/>
    <s v="Tamil Nadu"/>
    <x v="1"/>
    <s v="Jeans"/>
    <s v="Jeans Plus"/>
    <n v="1"/>
    <n v="1835"/>
    <n v="5"/>
    <n v="91.75"/>
    <n v="1743.25"/>
    <x v="0"/>
    <n v="4"/>
    <x v="0"/>
  </r>
  <r>
    <x v="897"/>
    <x v="897"/>
    <s v="CUST00296"/>
    <x v="7"/>
    <s v="Tamil Nadu"/>
    <x v="3"/>
    <s v="Shampoo"/>
    <s v="Shampoo Classic"/>
    <n v="1"/>
    <n v="1174"/>
    <n v="0"/>
    <n v="0"/>
    <n v="1174"/>
    <x v="4"/>
    <n v="2"/>
    <x v="0"/>
  </r>
  <r>
    <x v="898"/>
    <x v="898"/>
    <s v="CUST00126"/>
    <x v="7"/>
    <s v="Tamil Nadu"/>
    <x v="2"/>
    <s v="Mobile"/>
    <s v="Mobile Pro"/>
    <n v="1"/>
    <n v="27130"/>
    <n v="0"/>
    <n v="0"/>
    <n v="27130"/>
    <x v="3"/>
    <n v="2"/>
    <x v="0"/>
  </r>
  <r>
    <x v="899"/>
    <x v="899"/>
    <s v="CUST00062"/>
    <x v="3"/>
    <s v="Tamil Nadu"/>
    <x v="4"/>
    <s v="Rice"/>
    <s v="Rice Plus"/>
    <n v="1"/>
    <n v="131"/>
    <n v="5"/>
    <n v="6.55"/>
    <n v="124.45"/>
    <x v="2"/>
    <n v="6"/>
    <x v="0"/>
  </r>
  <r>
    <x v="900"/>
    <x v="900"/>
    <s v="CUST00064"/>
    <x v="2"/>
    <s v="Karnataka"/>
    <x v="1"/>
    <s v="Shoes"/>
    <s v="Shoes Classic"/>
    <n v="2"/>
    <n v="1784"/>
    <n v="5"/>
    <n v="178.4"/>
    <n v="3389.6"/>
    <x v="2"/>
    <n v="4"/>
    <x v="0"/>
  </r>
  <r>
    <x v="901"/>
    <x v="901"/>
    <s v="CUST00169"/>
    <x v="2"/>
    <s v="Karnataka"/>
    <x v="3"/>
    <s v="Perfume"/>
    <s v="Perfume Lite"/>
    <n v="2"/>
    <n v="1060"/>
    <n v="10"/>
    <n v="212"/>
    <n v="1908"/>
    <x v="4"/>
    <n v="3"/>
    <x v="0"/>
  </r>
  <r>
    <x v="902"/>
    <x v="902"/>
    <s v="CUST00019"/>
    <x v="9"/>
    <s v="Maharashtra"/>
    <x v="1"/>
    <s v="Handbag"/>
    <s v="Handbag Max"/>
    <n v="1"/>
    <n v="3371"/>
    <n v="15"/>
    <n v="505.65"/>
    <n v="2865.35"/>
    <x v="0"/>
    <n v="3"/>
    <x v="0"/>
  </r>
  <r>
    <x v="903"/>
    <x v="903"/>
    <s v="CUST00226"/>
    <x v="8"/>
    <s v="Telangana"/>
    <x v="1"/>
    <s v="Jeans"/>
    <s v="Jeans Lite"/>
    <n v="1"/>
    <n v="2507"/>
    <n v="15"/>
    <n v="376.05"/>
    <n v="2130.9499999999998"/>
    <x v="4"/>
    <n v="1"/>
    <x v="0"/>
  </r>
  <r>
    <x v="904"/>
    <x v="904"/>
    <s v="CUST00133"/>
    <x v="4"/>
    <s v="West Bengal"/>
    <x v="4"/>
    <s v="Snacks"/>
    <s v="Snacks Plus"/>
    <n v="1"/>
    <n v="1252"/>
    <n v="15"/>
    <n v="187.8"/>
    <n v="1064.2"/>
    <x v="0"/>
    <n v="2"/>
    <x v="0"/>
  </r>
  <r>
    <x v="905"/>
    <x v="905"/>
    <s v="CUST00087"/>
    <x v="1"/>
    <s v="Tamil Nadu"/>
    <x v="3"/>
    <s v="Shampoo"/>
    <s v="Shampoo Plus"/>
    <n v="2"/>
    <n v="610"/>
    <n v="0"/>
    <n v="0"/>
    <n v="1220"/>
    <x v="0"/>
    <n v="3"/>
    <x v="0"/>
  </r>
  <r>
    <x v="906"/>
    <x v="906"/>
    <s v="Unknown"/>
    <x v="4"/>
    <s v="West Bengal"/>
    <x v="3"/>
    <s v="Perfume"/>
    <s v="Perfume Classic"/>
    <n v="3"/>
    <n v="617"/>
    <n v="5"/>
    <n v="92.55"/>
    <n v="1758.45"/>
    <x v="0"/>
    <n v="3"/>
    <x v="0"/>
  </r>
  <r>
    <x v="907"/>
    <x v="907"/>
    <s v="Unknown"/>
    <x v="2"/>
    <s v="Karnataka"/>
    <x v="0"/>
    <s v="Dinner Set"/>
    <s v="Dinner Set Classic"/>
    <n v="2"/>
    <n v="6836"/>
    <n v="5"/>
    <n v="683.6"/>
    <n v="12988.4"/>
    <x v="0"/>
    <n v="2"/>
    <x v="0"/>
  </r>
  <r>
    <x v="908"/>
    <x v="908"/>
    <s v="CUST00126"/>
    <x v="5"/>
    <s v="Delhi"/>
    <x v="3"/>
    <s v="Shampoo"/>
    <s v="Shampoo Pro"/>
    <n v="3"/>
    <n v="337"/>
    <n v="10"/>
    <n v="101.1"/>
    <n v="909.9"/>
    <x v="2"/>
    <n v="5"/>
    <x v="0"/>
  </r>
  <r>
    <x v="909"/>
    <x v="909"/>
    <s v="CUST00032"/>
    <x v="5"/>
    <s v="Delhi"/>
    <x v="1"/>
    <s v="Jeans"/>
    <s v="Jeans Classic"/>
    <n v="2"/>
    <n v="4203"/>
    <n v="5"/>
    <n v="420.3"/>
    <n v="7985.7"/>
    <x v="4"/>
    <n v="2"/>
    <x v="0"/>
  </r>
  <r>
    <x v="910"/>
    <x v="910"/>
    <s v="CUST00227"/>
    <x v="2"/>
    <s v="Karnataka"/>
    <x v="3"/>
    <s v="Shampoo"/>
    <s v="Shampoo Pro"/>
    <n v="1"/>
    <n v="1315"/>
    <n v="5"/>
    <n v="65.75"/>
    <n v="1249.25"/>
    <x v="2"/>
    <n v="2"/>
    <x v="0"/>
  </r>
  <r>
    <x v="911"/>
    <x v="911"/>
    <s v="CUST00100"/>
    <x v="3"/>
    <s v="Tamil Nadu"/>
    <x v="4"/>
    <s v="Spices"/>
    <s v="Spices Pro"/>
    <n v="1"/>
    <n v="411"/>
    <n v="5"/>
    <n v="20.55"/>
    <n v="390.45"/>
    <x v="3"/>
    <n v="2"/>
    <x v="0"/>
  </r>
  <r>
    <x v="912"/>
    <x v="912"/>
    <s v="CUST00154"/>
    <x v="8"/>
    <s v="Telangana"/>
    <x v="4"/>
    <s v="Dal"/>
    <s v="Dal Max"/>
    <n v="1"/>
    <n v="951"/>
    <n v="0"/>
    <n v="0"/>
    <n v="951"/>
    <x v="2"/>
    <n v="2"/>
    <x v="1"/>
  </r>
  <r>
    <x v="913"/>
    <x v="913"/>
    <s v="CUST00241"/>
    <x v="7"/>
    <s v="Tamil Nadu"/>
    <x v="1"/>
    <s v="Jeans"/>
    <s v="Jeans Pro"/>
    <n v="2"/>
    <n v="1174"/>
    <n v="5"/>
    <n v="117.4"/>
    <n v="2230.6"/>
    <x v="4"/>
    <n v="4"/>
    <x v="0"/>
  </r>
  <r>
    <x v="914"/>
    <x v="914"/>
    <s v="CUST00056"/>
    <x v="5"/>
    <s v="Delhi"/>
    <x v="1"/>
    <s v="Shoes"/>
    <s v="Shoes Classic"/>
    <n v="1"/>
    <n v="4265"/>
    <n v="15"/>
    <n v="639.75"/>
    <n v="3625.25"/>
    <x v="0"/>
    <n v="3"/>
    <x v="0"/>
  </r>
  <r>
    <x v="915"/>
    <x v="915"/>
    <s v="CUST00081"/>
    <x v="5"/>
    <s v="Delhi"/>
    <x v="3"/>
    <s v="Shampoo"/>
    <s v="Shampoo Lite"/>
    <n v="1"/>
    <n v="1120"/>
    <n v="5"/>
    <n v="56"/>
    <n v="1064"/>
    <x v="3"/>
    <n v="3"/>
    <x v="0"/>
  </r>
  <r>
    <x v="916"/>
    <x v="916"/>
    <s v="CUST00135"/>
    <x v="7"/>
    <s v="Tamil Nadu"/>
    <x v="0"/>
    <s v="Cooker"/>
    <s v="Cooker Lite"/>
    <n v="1"/>
    <n v="3984"/>
    <n v="5"/>
    <n v="199.2"/>
    <n v="3784.8"/>
    <x v="2"/>
    <n v="3"/>
    <x v="0"/>
  </r>
  <r>
    <x v="917"/>
    <x v="917"/>
    <s v="CUST00210"/>
    <x v="4"/>
    <s v="West Bengal"/>
    <x v="1"/>
    <s v="Watch"/>
    <s v="Watch Max"/>
    <n v="1"/>
    <n v="2108"/>
    <n v="0"/>
    <n v="0"/>
    <n v="2108"/>
    <x v="3"/>
    <n v="2"/>
    <x v="0"/>
  </r>
  <r>
    <x v="918"/>
    <x v="918"/>
    <s v="CUST00167"/>
    <x v="1"/>
    <s v="Tamil Nadu"/>
    <x v="4"/>
    <s v="Dal"/>
    <s v="Dal Lite"/>
    <n v="1"/>
    <n v="547"/>
    <n v="0"/>
    <n v="0"/>
    <n v="547"/>
    <x v="2"/>
    <n v="8"/>
    <x v="0"/>
  </r>
  <r>
    <x v="919"/>
    <x v="919"/>
    <s v="CUST00200"/>
    <x v="7"/>
    <s v="Tamil Nadu"/>
    <x v="1"/>
    <s v="Shoes"/>
    <s v="Shoes Classic"/>
    <n v="1"/>
    <n v="1230"/>
    <n v="0"/>
    <n v="0"/>
    <n v="1230"/>
    <x v="3"/>
    <n v="4"/>
    <x v="0"/>
  </r>
  <r>
    <x v="920"/>
    <x v="920"/>
    <s v="CUST00242"/>
    <x v="9"/>
    <s v="Maharashtra"/>
    <x v="2"/>
    <s v="Headphones"/>
    <s v="Headphones Plus"/>
    <n v="2"/>
    <n v="10357"/>
    <n v="0"/>
    <n v="0"/>
    <n v="20714"/>
    <x v="0"/>
    <n v="3"/>
    <x v="0"/>
  </r>
  <r>
    <x v="921"/>
    <x v="921"/>
    <s v="CUST00134"/>
    <x v="1"/>
    <s v="Tamil Nadu"/>
    <x v="4"/>
    <s v="Oil"/>
    <s v="Oil Pro"/>
    <n v="1"/>
    <n v="963"/>
    <n v="10"/>
    <n v="96.3"/>
    <n v="866.7"/>
    <x v="0"/>
    <n v="2"/>
    <x v="0"/>
  </r>
  <r>
    <x v="922"/>
    <x v="922"/>
    <s v="CUST00236"/>
    <x v="4"/>
    <s v="West Bengal"/>
    <x v="0"/>
    <s v="Mixer"/>
    <s v="Mixer Max"/>
    <n v="1"/>
    <n v="1276"/>
    <n v="5"/>
    <n v="63.8"/>
    <n v="1212.2"/>
    <x v="2"/>
    <n v="4"/>
    <x v="0"/>
  </r>
  <r>
    <x v="923"/>
    <x v="923"/>
    <s v="CUST00263"/>
    <x v="4"/>
    <s v="West Bengal"/>
    <x v="2"/>
    <s v="Power Bank"/>
    <s v="Power Bank Plus"/>
    <n v="3"/>
    <n v="33544"/>
    <n v="0"/>
    <n v="0"/>
    <n v="100632"/>
    <x v="0"/>
    <n v="1"/>
    <x v="0"/>
  </r>
  <r>
    <x v="924"/>
    <x v="924"/>
    <s v="CUST00290"/>
    <x v="2"/>
    <s v="Karnataka"/>
    <x v="4"/>
    <s v="Rice"/>
    <s v="Rice Classic"/>
    <n v="1"/>
    <n v="1299"/>
    <n v="10"/>
    <n v="129.9"/>
    <n v="1169.0999999999999"/>
    <x v="0"/>
    <n v="1"/>
    <x v="0"/>
  </r>
  <r>
    <x v="925"/>
    <x v="925"/>
    <s v="CUST00221"/>
    <x v="8"/>
    <s v="Telangana"/>
    <x v="3"/>
    <s v="Perfume"/>
    <s v="Perfume Lite"/>
    <n v="1"/>
    <n v="1328"/>
    <n v="5"/>
    <n v="66.400000000000006"/>
    <n v="1261.5999999999999"/>
    <x v="2"/>
    <n v="4"/>
    <x v="0"/>
  </r>
  <r>
    <x v="926"/>
    <x v="926"/>
    <s v="CUST00206"/>
    <x v="3"/>
    <s v="Tamil Nadu"/>
    <x v="0"/>
    <s v="Bedsheet"/>
    <s v="Bedsheet Classic"/>
    <n v="2"/>
    <n v="2145"/>
    <n v="0"/>
    <n v="0"/>
    <n v="4290"/>
    <x v="2"/>
    <n v="6"/>
    <x v="0"/>
  </r>
  <r>
    <x v="927"/>
    <x v="927"/>
    <s v="CUST00235"/>
    <x v="5"/>
    <s v="Delhi"/>
    <x v="4"/>
    <s v="Oil"/>
    <s v="Oil Classic"/>
    <n v="1"/>
    <n v="256"/>
    <n v="0"/>
    <n v="0"/>
    <n v="256"/>
    <x v="4"/>
    <n v="4"/>
    <x v="0"/>
  </r>
  <r>
    <x v="928"/>
    <x v="928"/>
    <s v="CUST00277"/>
    <x v="4"/>
    <s v="West Bengal"/>
    <x v="2"/>
    <s v="Headphones"/>
    <s v="Headphones Max"/>
    <n v="3"/>
    <n v="14184"/>
    <n v="20"/>
    <n v="8510.4"/>
    <n v="34041.599999999999"/>
    <x v="0"/>
    <n v="4"/>
    <x v="0"/>
  </r>
  <r>
    <x v="929"/>
    <x v="929"/>
    <s v="CUST00014"/>
    <x v="9"/>
    <s v="Maharashtra"/>
    <x v="3"/>
    <s v="Face Wash"/>
    <s v="Face Wash Plus"/>
    <n v="1"/>
    <n v="1065"/>
    <n v="5"/>
    <n v="53.25"/>
    <n v="1011.75"/>
    <x v="0"/>
    <n v="2"/>
    <x v="0"/>
  </r>
  <r>
    <x v="930"/>
    <x v="930"/>
    <s v="CUST00048"/>
    <x v="9"/>
    <s v="Maharashtra"/>
    <x v="4"/>
    <s v="Snacks"/>
    <s v="Snacks Classic"/>
    <n v="1"/>
    <n v="1288"/>
    <n v="5"/>
    <n v="64.400000000000006"/>
    <n v="1223.5999999999999"/>
    <x v="1"/>
    <n v="2"/>
    <x v="0"/>
  </r>
  <r>
    <x v="931"/>
    <x v="931"/>
    <s v="CUST00047"/>
    <x v="1"/>
    <s v="Tamil Nadu"/>
    <x v="0"/>
    <s v="Curtains"/>
    <s v="Curtains Max"/>
    <n v="1"/>
    <n v="359"/>
    <n v="5"/>
    <n v="17.95"/>
    <n v="341.05"/>
    <x v="2"/>
    <n v="5"/>
    <x v="0"/>
  </r>
  <r>
    <x v="932"/>
    <x v="932"/>
    <s v="CUST00223"/>
    <x v="8"/>
    <s v="Telangana"/>
    <x v="1"/>
    <s v="T-Shirt"/>
    <s v="T-Shirt Plus"/>
    <n v="2"/>
    <n v="2650"/>
    <n v="0"/>
    <n v="0"/>
    <n v="5300"/>
    <x v="2"/>
    <n v="2"/>
    <x v="1"/>
  </r>
  <r>
    <x v="933"/>
    <x v="933"/>
    <s v="CUST00080"/>
    <x v="9"/>
    <s v="Maharashtra"/>
    <x v="3"/>
    <s v="Face Wash"/>
    <s v="Face Wash Pro"/>
    <n v="1"/>
    <n v="1414"/>
    <n v="15"/>
    <n v="212.1"/>
    <n v="1201.9000000000001"/>
    <x v="3"/>
    <n v="2"/>
    <x v="0"/>
  </r>
  <r>
    <x v="934"/>
    <x v="934"/>
    <s v="CUST00078"/>
    <x v="9"/>
    <s v="Maharashtra"/>
    <x v="0"/>
    <s v="Bedsheet"/>
    <s v="Bedsheet Lite"/>
    <n v="1"/>
    <n v="3606"/>
    <n v="15"/>
    <n v="540.9"/>
    <n v="3065.1"/>
    <x v="0"/>
    <n v="2"/>
    <x v="0"/>
  </r>
  <r>
    <x v="935"/>
    <x v="935"/>
    <s v="CUST00170"/>
    <x v="0"/>
    <s v="Tamil Nadu"/>
    <x v="3"/>
    <s v="Face Wash"/>
    <s v="Face Wash Lite"/>
    <n v="3"/>
    <n v="1711"/>
    <n v="10"/>
    <n v="513.29999999999995"/>
    <n v="4619.7"/>
    <x v="0"/>
    <n v="1"/>
    <x v="0"/>
  </r>
  <r>
    <x v="936"/>
    <x v="936"/>
    <s v="CUST00115"/>
    <x v="2"/>
    <s v="Karnataka"/>
    <x v="3"/>
    <s v="Face Wash"/>
    <s v="Face Wash Pro"/>
    <n v="3"/>
    <n v="1989"/>
    <n v="5"/>
    <n v="298.35000000000002"/>
    <n v="5668.65"/>
    <x v="2"/>
    <n v="5"/>
    <x v="1"/>
  </r>
  <r>
    <x v="937"/>
    <x v="937"/>
    <s v="CUST00241"/>
    <x v="8"/>
    <s v="Telangana"/>
    <x v="1"/>
    <s v="Shoes"/>
    <s v="Shoes Classic"/>
    <n v="1"/>
    <n v="4314"/>
    <n v="0"/>
    <n v="0"/>
    <n v="4314"/>
    <x v="0"/>
    <n v="1"/>
    <x v="0"/>
  </r>
  <r>
    <x v="938"/>
    <x v="938"/>
    <s v="Unknown"/>
    <x v="2"/>
    <s v="Karnataka"/>
    <x v="2"/>
    <s v="Smart Watch"/>
    <s v="Smart Watch Max"/>
    <n v="2"/>
    <n v="7396"/>
    <n v="10"/>
    <n v="1479.2"/>
    <n v="13312.8"/>
    <x v="0"/>
    <n v="3"/>
    <x v="0"/>
  </r>
  <r>
    <x v="939"/>
    <x v="939"/>
    <s v="CUST00267"/>
    <x v="1"/>
    <s v="Tamil Nadu"/>
    <x v="4"/>
    <s v="Oil"/>
    <s v="Oil Lite"/>
    <n v="1"/>
    <n v="120"/>
    <n v="10"/>
    <n v="12"/>
    <n v="108"/>
    <x v="2"/>
    <n v="7"/>
    <x v="0"/>
  </r>
  <r>
    <x v="940"/>
    <x v="940"/>
    <s v="CUST00008"/>
    <x v="9"/>
    <s v="Maharashtra"/>
    <x v="2"/>
    <s v="Laptop"/>
    <s v="Laptop Lite"/>
    <n v="1"/>
    <n v="1267"/>
    <n v="0"/>
    <n v="0"/>
    <n v="1267"/>
    <x v="2"/>
    <n v="6"/>
    <x v="0"/>
  </r>
  <r>
    <x v="941"/>
    <x v="941"/>
    <s v="CUST00233"/>
    <x v="3"/>
    <s v="Tamil Nadu"/>
    <x v="0"/>
    <s v="Dinner Set"/>
    <s v="Dinner Set Plus"/>
    <n v="1"/>
    <n v="7868"/>
    <n v="20"/>
    <n v="1573.6"/>
    <n v="6294.4"/>
    <x v="0"/>
    <n v="2"/>
    <x v="0"/>
  </r>
  <r>
    <x v="942"/>
    <x v="942"/>
    <s v="CUST00282"/>
    <x v="7"/>
    <s v="Tamil Nadu"/>
    <x v="2"/>
    <s v="Headphones"/>
    <s v="Headphones Classic"/>
    <n v="1"/>
    <n v="24448"/>
    <n v="0"/>
    <n v="0"/>
    <n v="24448"/>
    <x v="0"/>
    <n v="2"/>
    <x v="0"/>
  </r>
  <r>
    <x v="943"/>
    <x v="943"/>
    <s v="CUST00062"/>
    <x v="1"/>
    <s v="Tamil Nadu"/>
    <x v="0"/>
    <s v="Mixer"/>
    <s v="Mixer Max"/>
    <n v="1"/>
    <n v="7996"/>
    <n v="0"/>
    <n v="0"/>
    <n v="7996"/>
    <x v="2"/>
    <n v="8"/>
    <x v="0"/>
  </r>
  <r>
    <x v="944"/>
    <x v="944"/>
    <s v="CUST00114"/>
    <x v="0"/>
    <s v="Tamil Nadu"/>
    <x v="1"/>
    <s v="Shoes"/>
    <s v="Shoes Classic"/>
    <n v="1"/>
    <n v="4746"/>
    <n v="5"/>
    <n v="237.3"/>
    <n v="4508.7"/>
    <x v="0"/>
    <n v="4"/>
    <x v="0"/>
  </r>
  <r>
    <x v="945"/>
    <x v="945"/>
    <s v="CUST00086"/>
    <x v="4"/>
    <s v="West Bengal"/>
    <x v="1"/>
    <s v="T-Shirt"/>
    <s v="T-Shirt Lite"/>
    <n v="1"/>
    <n v="1645"/>
    <n v="15"/>
    <n v="246.75"/>
    <n v="1398.25"/>
    <x v="0"/>
    <n v="5"/>
    <x v="0"/>
  </r>
  <r>
    <x v="946"/>
    <x v="946"/>
    <s v="CUST00152"/>
    <x v="6"/>
    <s v="Maharashtra"/>
    <x v="4"/>
    <s v="Spices"/>
    <s v="Spices Plus"/>
    <n v="1"/>
    <n v="564"/>
    <n v="10"/>
    <n v="56.4"/>
    <n v="507.6"/>
    <x v="4"/>
    <n v="2"/>
    <x v="0"/>
  </r>
  <r>
    <x v="947"/>
    <x v="947"/>
    <s v="CUST00035"/>
    <x v="0"/>
    <s v="Tamil Nadu"/>
    <x v="3"/>
    <s v="Shampoo"/>
    <s v="Shampoo Lite"/>
    <n v="1"/>
    <n v="1760"/>
    <n v="10"/>
    <n v="176"/>
    <n v="1584"/>
    <x v="3"/>
    <n v="2"/>
    <x v="0"/>
  </r>
  <r>
    <x v="948"/>
    <x v="948"/>
    <s v="CUST00037"/>
    <x v="5"/>
    <s v="Delhi"/>
    <x v="0"/>
    <s v="Mixer"/>
    <s v="Mixer Plus"/>
    <n v="1"/>
    <n v="1986"/>
    <n v="10"/>
    <n v="198.6"/>
    <n v="1787.4"/>
    <x v="2"/>
    <n v="2"/>
    <x v="0"/>
  </r>
  <r>
    <x v="949"/>
    <x v="949"/>
    <s v="CUST00269"/>
    <x v="2"/>
    <s v="Karnataka"/>
    <x v="4"/>
    <s v="Spices"/>
    <s v="Spices Lite"/>
    <n v="1"/>
    <n v="1299"/>
    <n v="5"/>
    <n v="64.95"/>
    <n v="1234.05"/>
    <x v="0"/>
    <n v="5"/>
    <x v="0"/>
  </r>
  <r>
    <x v="950"/>
    <x v="950"/>
    <s v="CUST00140"/>
    <x v="0"/>
    <s v="Tamil Nadu"/>
    <x v="3"/>
    <s v="Lipstick"/>
    <s v="Lipstick Pro"/>
    <n v="1"/>
    <n v="1603"/>
    <n v="15"/>
    <n v="240.45"/>
    <n v="1362.55"/>
    <x v="3"/>
    <n v="2"/>
    <x v="0"/>
  </r>
  <r>
    <x v="951"/>
    <x v="951"/>
    <s v="CUST00053"/>
    <x v="2"/>
    <s v="Karnataka"/>
    <x v="4"/>
    <s v="Snacks"/>
    <s v="Snacks Max"/>
    <n v="1"/>
    <n v="1356"/>
    <n v="0"/>
    <n v="0"/>
    <n v="1356"/>
    <x v="2"/>
    <n v="5"/>
    <x v="0"/>
  </r>
  <r>
    <x v="952"/>
    <x v="952"/>
    <s v="CUST00169"/>
    <x v="6"/>
    <s v="Maharashtra"/>
    <x v="0"/>
    <s v="Cooker"/>
    <s v="Cooker Pro"/>
    <n v="1"/>
    <n v="5098"/>
    <n v="5"/>
    <n v="254.9"/>
    <n v="4843.1000000000004"/>
    <x v="4"/>
    <n v="1"/>
    <x v="0"/>
  </r>
  <r>
    <x v="953"/>
    <x v="953"/>
    <s v="CUST00250"/>
    <x v="1"/>
    <s v="Tamil Nadu"/>
    <x v="4"/>
    <s v="Snacks"/>
    <s v="Snacks Plus"/>
    <n v="1"/>
    <n v="1259"/>
    <n v="15"/>
    <n v="188.85"/>
    <n v="1070.1500000000001"/>
    <x v="4"/>
    <n v="1"/>
    <x v="0"/>
  </r>
  <r>
    <x v="954"/>
    <x v="954"/>
    <s v="CUST00061"/>
    <x v="5"/>
    <s v="Delhi"/>
    <x v="0"/>
    <s v="Dinner Set"/>
    <s v="Dinner Set Classic"/>
    <n v="1"/>
    <n v="3145"/>
    <n v="15"/>
    <n v="471.75"/>
    <n v="2673.25"/>
    <x v="4"/>
    <n v="3"/>
    <x v="0"/>
  </r>
  <r>
    <x v="955"/>
    <x v="955"/>
    <s v="CUST00222"/>
    <x v="0"/>
    <s v="Tamil Nadu"/>
    <x v="1"/>
    <s v="Handbag"/>
    <s v="Handbag Lite"/>
    <n v="1"/>
    <n v="1209"/>
    <n v="10"/>
    <n v="120.9"/>
    <n v="1088.0999999999999"/>
    <x v="2"/>
    <n v="3"/>
    <x v="0"/>
  </r>
  <r>
    <x v="956"/>
    <x v="956"/>
    <s v="CUST00181"/>
    <x v="5"/>
    <s v="Delhi"/>
    <x v="0"/>
    <s v="Curtains"/>
    <s v="Curtains Pro"/>
    <n v="1"/>
    <n v="2015"/>
    <n v="10"/>
    <n v="201.5"/>
    <n v="1813.5"/>
    <x v="2"/>
    <n v="4"/>
    <x v="0"/>
  </r>
  <r>
    <x v="957"/>
    <x v="957"/>
    <s v="Unknown"/>
    <x v="2"/>
    <s v="Karnataka"/>
    <x v="0"/>
    <s v="Cooker"/>
    <s v="Cooker Classic"/>
    <n v="1"/>
    <n v="7088"/>
    <n v="15"/>
    <n v="1063.2"/>
    <n v="6024.8"/>
    <x v="0"/>
    <n v="2"/>
    <x v="0"/>
  </r>
  <r>
    <x v="958"/>
    <x v="958"/>
    <s v="CUST00255"/>
    <x v="9"/>
    <s v="Maharashtra"/>
    <x v="3"/>
    <s v="Shampoo"/>
    <s v="Shampoo Max"/>
    <n v="2"/>
    <n v="1800"/>
    <n v="15"/>
    <n v="540"/>
    <n v="3060"/>
    <x v="2"/>
    <n v="6"/>
    <x v="0"/>
  </r>
  <r>
    <x v="959"/>
    <x v="959"/>
    <s v="CUST00098"/>
    <x v="3"/>
    <s v="Tamil Nadu"/>
    <x v="0"/>
    <s v="Dinner Set"/>
    <s v="Dinner Set Classic"/>
    <n v="1"/>
    <n v="1757"/>
    <n v="10"/>
    <n v="175.7"/>
    <n v="1581.3"/>
    <x v="0"/>
    <n v="1"/>
    <x v="0"/>
  </r>
  <r>
    <x v="960"/>
    <x v="960"/>
    <s v="CUST00208"/>
    <x v="8"/>
    <s v="Telangana"/>
    <x v="1"/>
    <s v="Shoes"/>
    <s v="Shoes Classic"/>
    <n v="1"/>
    <n v="3555"/>
    <n v="10"/>
    <n v="355.5"/>
    <n v="3199.5"/>
    <x v="1"/>
    <n v="2"/>
    <x v="0"/>
  </r>
  <r>
    <x v="961"/>
    <x v="961"/>
    <s v="CUST00227"/>
    <x v="0"/>
    <s v="Tamil Nadu"/>
    <x v="1"/>
    <s v="Handbag"/>
    <s v="Handbag Lite"/>
    <n v="1"/>
    <n v="615"/>
    <n v="20"/>
    <n v="123"/>
    <n v="492"/>
    <x v="0"/>
    <n v="2"/>
    <x v="0"/>
  </r>
  <r>
    <x v="962"/>
    <x v="962"/>
    <s v="CUST00111"/>
    <x v="9"/>
    <s v="Maharashtra"/>
    <x v="2"/>
    <s v="Headphones"/>
    <s v="Headphones Lite"/>
    <n v="3"/>
    <n v="32171"/>
    <n v="20"/>
    <n v="19302.599999999999"/>
    <n v="77210.399999999994"/>
    <x v="0"/>
    <n v="2"/>
    <x v="0"/>
  </r>
  <r>
    <x v="963"/>
    <x v="963"/>
    <s v="CUST00298"/>
    <x v="6"/>
    <s v="Maharashtra"/>
    <x v="4"/>
    <s v="Spices"/>
    <s v="Spices Max"/>
    <n v="2"/>
    <n v="796"/>
    <n v="15"/>
    <n v="238.8"/>
    <n v="1353.2"/>
    <x v="2"/>
    <n v="3"/>
    <x v="0"/>
  </r>
  <r>
    <x v="964"/>
    <x v="964"/>
    <s v="CUST00069"/>
    <x v="4"/>
    <s v="West Bengal"/>
    <x v="1"/>
    <s v="Handbag"/>
    <s v="Handbag Classic"/>
    <n v="1"/>
    <n v="4297"/>
    <n v="15"/>
    <n v="644.54999999999995"/>
    <n v="3652.45"/>
    <x v="4"/>
    <n v="3"/>
    <x v="0"/>
  </r>
  <r>
    <x v="965"/>
    <x v="965"/>
    <s v="CUST00284"/>
    <x v="5"/>
    <s v="Delhi"/>
    <x v="3"/>
    <s v="Lipstick"/>
    <s v="Lipstick Classic"/>
    <n v="2"/>
    <n v="1360"/>
    <n v="0"/>
    <n v="0"/>
    <n v="2720"/>
    <x v="1"/>
    <n v="1"/>
    <x v="0"/>
  </r>
  <r>
    <x v="966"/>
    <x v="966"/>
    <s v="CUST00287"/>
    <x v="0"/>
    <s v="Tamil Nadu"/>
    <x v="0"/>
    <s v="Curtains"/>
    <s v="Curtains Lite"/>
    <n v="1"/>
    <n v="6188"/>
    <n v="0"/>
    <n v="0"/>
    <n v="6188"/>
    <x v="2"/>
    <n v="2"/>
    <x v="0"/>
  </r>
  <r>
    <x v="967"/>
    <x v="967"/>
    <s v="CUST00069"/>
    <x v="6"/>
    <s v="Maharashtra"/>
    <x v="1"/>
    <s v="Watch"/>
    <s v="Watch Max"/>
    <n v="1"/>
    <n v="3107"/>
    <n v="15"/>
    <n v="466.05"/>
    <n v="2640.95"/>
    <x v="0"/>
    <n v="3"/>
    <x v="0"/>
  </r>
  <r>
    <x v="968"/>
    <x v="968"/>
    <s v="CUST00162"/>
    <x v="0"/>
    <s v="Tamil Nadu"/>
    <x v="4"/>
    <s v="Rice"/>
    <s v="Rice Max"/>
    <n v="1"/>
    <n v="380"/>
    <n v="10"/>
    <n v="38"/>
    <n v="342"/>
    <x v="0"/>
    <n v="3"/>
    <x v="0"/>
  </r>
  <r>
    <x v="969"/>
    <x v="969"/>
    <s v="CUST00093"/>
    <x v="0"/>
    <s v="Tamil Nadu"/>
    <x v="3"/>
    <s v="Face Wash"/>
    <s v="Face Wash Max"/>
    <n v="1"/>
    <n v="984"/>
    <n v="10"/>
    <n v="98.4"/>
    <n v="885.6"/>
    <x v="0"/>
    <n v="2"/>
    <x v="0"/>
  </r>
  <r>
    <x v="970"/>
    <x v="970"/>
    <s v="CUST00160"/>
    <x v="4"/>
    <s v="West Bengal"/>
    <x v="1"/>
    <s v="Watch"/>
    <s v="Watch Max"/>
    <n v="1"/>
    <n v="2534"/>
    <n v="5"/>
    <n v="126.7"/>
    <n v="2407.3000000000002"/>
    <x v="4"/>
    <n v="1"/>
    <x v="0"/>
  </r>
  <r>
    <x v="971"/>
    <x v="971"/>
    <s v="CUST00049"/>
    <x v="1"/>
    <s v="Tamil Nadu"/>
    <x v="0"/>
    <s v="Bedsheet"/>
    <s v="Bedsheet Classic"/>
    <n v="1"/>
    <n v="5892"/>
    <n v="0"/>
    <n v="0"/>
    <n v="5892"/>
    <x v="1"/>
    <n v="3"/>
    <x v="0"/>
  </r>
  <r>
    <x v="972"/>
    <x v="972"/>
    <s v="CUST00168"/>
    <x v="6"/>
    <s v="Maharashtra"/>
    <x v="0"/>
    <s v="Bedsheet"/>
    <s v="Bedsheet Classic"/>
    <n v="1"/>
    <n v="1844"/>
    <n v="5"/>
    <n v="92.2"/>
    <n v="1751.8"/>
    <x v="3"/>
    <n v="5"/>
    <x v="0"/>
  </r>
  <r>
    <x v="973"/>
    <x v="973"/>
    <s v="CUST00080"/>
    <x v="3"/>
    <s v="Tamil Nadu"/>
    <x v="0"/>
    <s v="Dinner Set"/>
    <s v="Dinner Set Lite"/>
    <n v="2"/>
    <n v="1519"/>
    <n v="0"/>
    <n v="0"/>
    <n v="3038"/>
    <x v="0"/>
    <n v="3"/>
    <x v="0"/>
  </r>
  <r>
    <x v="974"/>
    <x v="974"/>
    <s v="CUST00160"/>
    <x v="8"/>
    <s v="Telangana"/>
    <x v="2"/>
    <s v="Headphones"/>
    <s v="Headphones Lite"/>
    <n v="1"/>
    <n v="11469"/>
    <n v="0"/>
    <n v="0"/>
    <n v="11469"/>
    <x v="4"/>
    <n v="2"/>
    <x v="0"/>
  </r>
  <r>
    <x v="975"/>
    <x v="975"/>
    <s v="CUST00281"/>
    <x v="6"/>
    <s v="Maharashtra"/>
    <x v="3"/>
    <s v="Face Wash"/>
    <s v="Face Wash Classic"/>
    <n v="1"/>
    <n v="640"/>
    <n v="0"/>
    <n v="0"/>
    <n v="640"/>
    <x v="3"/>
    <n v="2"/>
    <x v="0"/>
  </r>
  <r>
    <x v="976"/>
    <x v="976"/>
    <s v="CUST00051"/>
    <x v="1"/>
    <s v="Tamil Nadu"/>
    <x v="2"/>
    <s v="Headphones"/>
    <s v="Headphones Classic"/>
    <n v="1"/>
    <n v="35360"/>
    <n v="10"/>
    <n v="3536"/>
    <n v="31824"/>
    <x v="0"/>
    <n v="1"/>
    <x v="0"/>
  </r>
  <r>
    <x v="977"/>
    <x v="977"/>
    <s v="CUST00150"/>
    <x v="6"/>
    <s v="Maharashtra"/>
    <x v="3"/>
    <s v="Perfume"/>
    <s v="Perfume Plus"/>
    <n v="1"/>
    <n v="808"/>
    <n v="5"/>
    <n v="40.4"/>
    <n v="767.6"/>
    <x v="3"/>
    <n v="2"/>
    <x v="0"/>
  </r>
  <r>
    <x v="978"/>
    <x v="978"/>
    <s v="CUST00029"/>
    <x v="1"/>
    <s v="Tamil Nadu"/>
    <x v="2"/>
    <s v="Laptop"/>
    <s v="Laptop Pro"/>
    <n v="1"/>
    <n v="39000"/>
    <n v="10"/>
    <n v="3900"/>
    <n v="35100"/>
    <x v="3"/>
    <n v="1"/>
    <x v="0"/>
  </r>
  <r>
    <x v="979"/>
    <x v="979"/>
    <s v="CUST00198"/>
    <x v="5"/>
    <s v="Delhi"/>
    <x v="0"/>
    <s v="Dinner Set"/>
    <s v="Dinner Set Pro"/>
    <n v="2"/>
    <n v="4592"/>
    <n v="5"/>
    <n v="459.2"/>
    <n v="8724.7999999999993"/>
    <x v="4"/>
    <n v="1"/>
    <x v="0"/>
  </r>
  <r>
    <x v="980"/>
    <x v="980"/>
    <s v="CUST00051"/>
    <x v="7"/>
    <s v="Tamil Nadu"/>
    <x v="1"/>
    <s v="Jeans"/>
    <s v="Jeans Max"/>
    <n v="1"/>
    <n v="4457"/>
    <n v="10"/>
    <n v="445.7"/>
    <n v="4011.3"/>
    <x v="0"/>
    <n v="2"/>
    <x v="0"/>
  </r>
  <r>
    <x v="981"/>
    <x v="981"/>
    <s v="CUST00060"/>
    <x v="8"/>
    <s v="Telangana"/>
    <x v="2"/>
    <s v="Laptop"/>
    <s v="Laptop Max"/>
    <n v="3"/>
    <n v="26053"/>
    <n v="0"/>
    <n v="0"/>
    <n v="78159"/>
    <x v="0"/>
    <n v="2"/>
    <x v="0"/>
  </r>
  <r>
    <x v="982"/>
    <x v="982"/>
    <s v="CUST00133"/>
    <x v="6"/>
    <s v="Maharashtra"/>
    <x v="4"/>
    <s v="Oil"/>
    <s v="Oil Lite"/>
    <n v="3"/>
    <n v="901"/>
    <n v="15"/>
    <n v="405.45"/>
    <n v="2297.5500000000002"/>
    <x v="3"/>
    <n v="4"/>
    <x v="0"/>
  </r>
  <r>
    <x v="983"/>
    <x v="983"/>
    <s v="Unknown"/>
    <x v="8"/>
    <s v="Telangana"/>
    <x v="4"/>
    <s v="Rice"/>
    <s v="Rice Plus"/>
    <n v="1"/>
    <n v="506"/>
    <n v="0"/>
    <n v="0"/>
    <n v="506"/>
    <x v="0"/>
    <n v="2"/>
    <x v="0"/>
  </r>
  <r>
    <x v="984"/>
    <x v="984"/>
    <s v="CUST00035"/>
    <x v="9"/>
    <s v="Maharashtra"/>
    <x v="4"/>
    <s v="Oil"/>
    <s v="Oil Lite"/>
    <n v="3"/>
    <n v="636"/>
    <n v="0"/>
    <n v="0"/>
    <n v="1908"/>
    <x v="4"/>
    <n v="1"/>
    <x v="0"/>
  </r>
  <r>
    <x v="985"/>
    <x v="985"/>
    <s v="CUST00203"/>
    <x v="5"/>
    <s v="Delhi"/>
    <x v="2"/>
    <s v="Power Bank"/>
    <s v="Power Bank Plus"/>
    <n v="1"/>
    <n v="34462"/>
    <n v="0"/>
    <n v="0"/>
    <n v="34462"/>
    <x v="0"/>
    <n v="2"/>
    <x v="0"/>
  </r>
  <r>
    <x v="986"/>
    <x v="986"/>
    <s v="CUST00035"/>
    <x v="5"/>
    <s v="Delhi"/>
    <x v="3"/>
    <s v="Moisturizer"/>
    <s v="Moisturizer Max"/>
    <n v="1"/>
    <n v="1725"/>
    <n v="10"/>
    <n v="172.5"/>
    <n v="1552.5"/>
    <x v="3"/>
    <n v="5"/>
    <x v="0"/>
  </r>
  <r>
    <x v="987"/>
    <x v="987"/>
    <s v="CUST00163"/>
    <x v="0"/>
    <s v="Tamil Nadu"/>
    <x v="4"/>
    <s v="Rice"/>
    <s v="Rice Lite"/>
    <n v="1"/>
    <n v="460"/>
    <n v="15"/>
    <n v="69"/>
    <n v="391"/>
    <x v="0"/>
    <n v="2"/>
    <x v="0"/>
  </r>
  <r>
    <x v="988"/>
    <x v="988"/>
    <s v="CUST00116"/>
    <x v="9"/>
    <s v="Maharashtra"/>
    <x v="1"/>
    <s v="Shoes"/>
    <s v="Shoes Plus"/>
    <n v="1"/>
    <n v="968"/>
    <n v="5"/>
    <n v="48.4"/>
    <n v="919.6"/>
    <x v="4"/>
    <n v="1"/>
    <x v="0"/>
  </r>
  <r>
    <x v="989"/>
    <x v="989"/>
    <s v="CUST00030"/>
    <x v="2"/>
    <s v="Karnataka"/>
    <x v="2"/>
    <s v="Smart Watch"/>
    <s v="Smart Watch Classic"/>
    <n v="1"/>
    <n v="11635"/>
    <n v="15"/>
    <n v="1745.25"/>
    <n v="9889.75"/>
    <x v="4"/>
    <n v="1"/>
    <x v="0"/>
  </r>
  <r>
    <x v="990"/>
    <x v="990"/>
    <s v="CUST00289"/>
    <x v="0"/>
    <s v="Tamil Nadu"/>
    <x v="3"/>
    <s v="Moisturizer"/>
    <s v="Moisturizer Pro"/>
    <n v="2"/>
    <n v="190"/>
    <n v="15"/>
    <n v="57"/>
    <n v="323"/>
    <x v="3"/>
    <n v="3"/>
    <x v="0"/>
  </r>
  <r>
    <x v="991"/>
    <x v="991"/>
    <s v="CUST00145"/>
    <x v="3"/>
    <s v="Tamil Nadu"/>
    <x v="3"/>
    <s v="Perfume"/>
    <s v="Perfume Lite"/>
    <n v="1"/>
    <n v="1081"/>
    <n v="15"/>
    <n v="162.15"/>
    <n v="918.85"/>
    <x v="0"/>
    <n v="3"/>
    <x v="0"/>
  </r>
  <r>
    <x v="992"/>
    <x v="992"/>
    <s v="CUST00115"/>
    <x v="9"/>
    <s v="Maharashtra"/>
    <x v="0"/>
    <s v="Mixer"/>
    <s v="Mixer Plus"/>
    <n v="3"/>
    <n v="6362"/>
    <n v="15"/>
    <n v="2862.9"/>
    <n v="16223.1"/>
    <x v="0"/>
    <n v="2"/>
    <x v="0"/>
  </r>
  <r>
    <x v="993"/>
    <x v="993"/>
    <s v="CUST00278"/>
    <x v="5"/>
    <s v="Delhi"/>
    <x v="3"/>
    <s v="Shampoo"/>
    <s v="Shampoo Max"/>
    <n v="1"/>
    <n v="1005"/>
    <n v="10"/>
    <n v="100.5"/>
    <n v="904.5"/>
    <x v="3"/>
    <n v="2"/>
    <x v="0"/>
  </r>
  <r>
    <x v="994"/>
    <x v="994"/>
    <s v="CUST00173"/>
    <x v="4"/>
    <s v="West Bengal"/>
    <x v="3"/>
    <s v="Shampoo"/>
    <s v="Shampoo Classic"/>
    <n v="1"/>
    <n v="548"/>
    <n v="10"/>
    <n v="54.8"/>
    <n v="493.2"/>
    <x v="3"/>
    <n v="2"/>
    <x v="0"/>
  </r>
  <r>
    <x v="995"/>
    <x v="995"/>
    <s v="CUST00192"/>
    <x v="8"/>
    <s v="Telangana"/>
    <x v="1"/>
    <s v="Watch"/>
    <s v="Watch Lite"/>
    <n v="1"/>
    <n v="4105"/>
    <n v="5"/>
    <n v="205.25"/>
    <n v="3899.75"/>
    <x v="0"/>
    <n v="2"/>
    <x v="0"/>
  </r>
  <r>
    <x v="996"/>
    <x v="996"/>
    <s v="CUST00197"/>
    <x v="1"/>
    <s v="Tamil Nadu"/>
    <x v="3"/>
    <s v="Shampoo"/>
    <s v="Shampoo Plus"/>
    <n v="1"/>
    <n v="1516"/>
    <n v="0"/>
    <n v="0"/>
    <n v="1516"/>
    <x v="2"/>
    <n v="6"/>
    <x v="1"/>
  </r>
  <r>
    <x v="997"/>
    <x v="997"/>
    <s v="CUST00295"/>
    <x v="5"/>
    <s v="Delhi"/>
    <x v="1"/>
    <s v="Watch"/>
    <s v="Watch Max"/>
    <n v="1"/>
    <n v="4386"/>
    <n v="5"/>
    <n v="219.3"/>
    <n v="4166.7"/>
    <x v="4"/>
    <n v="1"/>
    <x v="0"/>
  </r>
  <r>
    <x v="998"/>
    <x v="998"/>
    <s v="CUST00034"/>
    <x v="2"/>
    <s v="Karnataka"/>
    <x v="2"/>
    <s v="Mobile"/>
    <s v="Mobile Pro"/>
    <n v="1"/>
    <n v="6394"/>
    <n v="0"/>
    <n v="0"/>
    <n v="6394"/>
    <x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9AD19-BFD1-434C-9261-C206B18A99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0:B35" firstHeaderRow="1" firstDataRow="1" firstDataCol="1"/>
  <pivotFields count="18">
    <pivotField axis="axisRow"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3">
    <field x="17"/>
    <field x="16"/>
    <field x="0"/>
  </rowFields>
  <rowItems count="5">
    <i>
      <x v="1"/>
    </i>
    <i>
      <x v="2"/>
    </i>
    <i>
      <x v="3"/>
    </i>
    <i>
      <x v="4"/>
    </i>
    <i t="grand">
      <x/>
    </i>
  </rowItems>
  <colItems count="1">
    <i/>
  </colItems>
  <dataFields count="1">
    <dataField name="Sum of Final_Price" fld="12" baseField="0" baseItem="0"/>
  </dataFields>
  <chartFormats count="1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7" count="1" selected="0">
            <x v="2"/>
          </reference>
        </references>
      </pivotArea>
    </chartFormat>
    <chartFormat chart="3" format="3">
      <pivotArea type="data" outline="0" fieldPosition="0">
        <references count="2">
          <reference field="4294967294" count="1" selected="0">
            <x v="0"/>
          </reference>
          <reference field="17" count="1" selected="0">
            <x v="3"/>
          </reference>
        </references>
      </pivotArea>
    </chartFormat>
    <chartFormat chart="3" format="4">
      <pivotArea type="data" outline="0" fieldPosition="0">
        <references count="2">
          <reference field="4294967294" count="1" selected="0">
            <x v="0"/>
          </reference>
          <reference field="17" count="1" selected="0">
            <x v="4"/>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7" count="1" selected="0">
            <x v="2"/>
          </reference>
        </references>
      </pivotArea>
    </chartFormat>
    <chartFormat chart="10" format="7">
      <pivotArea type="data" outline="0" fieldPosition="0">
        <references count="2">
          <reference field="4294967294" count="1" selected="0">
            <x v="0"/>
          </reference>
          <reference field="17" count="1" selected="0">
            <x v="3"/>
          </reference>
        </references>
      </pivotArea>
    </chartFormat>
    <chartFormat chart="10" format="8">
      <pivotArea type="data" outline="0" fieldPosition="0">
        <references count="2">
          <reference field="4294967294" count="1" selected="0">
            <x v="0"/>
          </reference>
          <reference field="17" count="1" selected="0">
            <x v="4"/>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7" count="1" selected="0">
            <x v="2"/>
          </reference>
        </references>
      </pivotArea>
    </chartFormat>
    <chartFormat chart="11" format="11">
      <pivotArea type="data" outline="0" fieldPosition="0">
        <references count="2">
          <reference field="4294967294" count="1" selected="0">
            <x v="0"/>
          </reference>
          <reference field="17" count="1" selected="0">
            <x v="3"/>
          </reference>
        </references>
      </pivotArea>
    </chartFormat>
    <chartFormat chart="11"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1FB59-FB35-4060-9EC2-5A8504609B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3:B9" firstHeaderRow="1" firstDataRow="1" firstDataCol="1"/>
  <pivotFields count="18">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h="1" x="0"/>
        <item h="1" x="1"/>
        <item h="1" x="2"/>
        <item h="1" x="3"/>
        <item h="1" x="4"/>
        <item h="1" x="5"/>
        <item h="1" x="6"/>
        <item x="7"/>
        <item h="1" x="8"/>
        <item h="1" x="9"/>
        <item h="1" x="10"/>
        <item h="1" x="11"/>
        <item h="1" x="12"/>
        <item h="1" x="13"/>
        <item t="default"/>
      </items>
    </pivotField>
    <pivotField showAll="0">
      <items count="7">
        <item x="0"/>
        <item x="1"/>
        <item x="2"/>
        <item x="3"/>
        <item x="4"/>
        <item x="5"/>
        <item t="default"/>
      </items>
    </pivotField>
  </pivotFields>
  <rowFields count="1">
    <field x="5"/>
  </rowFields>
  <rowItems count="6">
    <i>
      <x/>
    </i>
    <i>
      <x v="1"/>
    </i>
    <i>
      <x v="2"/>
    </i>
    <i>
      <x v="3"/>
    </i>
    <i>
      <x v="4"/>
    </i>
    <i t="grand">
      <x/>
    </i>
  </rowItems>
  <colItems count="1">
    <i/>
  </colItems>
  <dataFields count="1">
    <dataField name="Revenue" fld="12" baseField="0" baseItem="0"/>
  </dataFields>
  <chartFormats count="3">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12B51F-AA22-44CD-8AE5-5EE98BAD92D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Payment Mode">
  <location ref="D3:G10" firstHeaderRow="1" firstDataRow="2" firstDataCol="1"/>
  <pivotFields count="18">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dataField="1"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4"/>
        <item x="1"/>
        <item x="0"/>
        <item t="default"/>
      </items>
    </pivotField>
    <pivotField showAll="0"/>
    <pivotField axis="axisCol" showAll="0">
      <items count="3">
        <item x="0"/>
        <item x="1"/>
        <item t="default"/>
      </items>
    </pivotField>
    <pivotField showAll="0" defaultSubtotal="0"/>
    <pivotField showAll="0" defaultSubtotal="0">
      <items count="6">
        <item x="0"/>
        <item x="1"/>
        <item x="2"/>
        <item x="3"/>
        <item x="4"/>
        <item x="5"/>
      </items>
    </pivotField>
  </pivotFields>
  <rowFields count="1">
    <field x="13"/>
  </rowFields>
  <rowItems count="6">
    <i>
      <x/>
    </i>
    <i>
      <x v="1"/>
    </i>
    <i>
      <x v="2"/>
    </i>
    <i>
      <x v="3"/>
    </i>
    <i>
      <x v="4"/>
    </i>
    <i t="grand">
      <x/>
    </i>
  </rowItems>
  <colFields count="1">
    <field x="15"/>
  </colFields>
  <colItems count="3">
    <i>
      <x/>
    </i>
    <i>
      <x v="1"/>
    </i>
    <i t="grand">
      <x/>
    </i>
  </colItems>
  <dataFields count="1">
    <dataField name="Count of Order_ID" fld="1" subtotal="count" baseField="13" baseItem="0"/>
  </dataFields>
  <chartFormats count="9">
    <chartFormat chart="4" format="2" series="1">
      <pivotArea type="data" outline="0" fieldPosition="0">
        <references count="2">
          <reference field="4294967294" count="1" selected="0">
            <x v="0"/>
          </reference>
          <reference field="15" count="1" selected="0">
            <x v="0"/>
          </reference>
        </references>
      </pivotArea>
    </chartFormat>
    <chartFormat chart="4" format="3" series="1">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3">
          <reference field="4294967294" count="1" selected="0">
            <x v="0"/>
          </reference>
          <reference field="13" count="1" selected="0">
            <x v="0"/>
          </reference>
          <reference field="15" count="1" selected="0">
            <x v="1"/>
          </reference>
        </references>
      </pivotArea>
    </chartFormat>
    <chartFormat chart="5" format="5" series="1">
      <pivotArea type="data" outline="0" fieldPosition="0">
        <references count="2">
          <reference field="4294967294" count="1" selected="0">
            <x v="0"/>
          </reference>
          <reference field="15" count="1" selected="0">
            <x v="0"/>
          </reference>
        </references>
      </pivotArea>
    </chartFormat>
    <chartFormat chart="5" format="6" series="1">
      <pivotArea type="data" outline="0" fieldPosition="0">
        <references count="2">
          <reference field="4294967294" count="1" selected="0">
            <x v="0"/>
          </reference>
          <reference field="15" count="1" selected="0">
            <x v="1"/>
          </reference>
        </references>
      </pivotArea>
    </chartFormat>
    <chartFormat chart="5" format="7">
      <pivotArea type="data" outline="0" fieldPosition="0">
        <references count="3">
          <reference field="4294967294" count="1" selected="0">
            <x v="0"/>
          </reference>
          <reference field="13" count="1" selected="0">
            <x v="0"/>
          </reference>
          <reference field="15" count="1" selected="0">
            <x v="1"/>
          </reference>
        </references>
      </pivotArea>
    </chartFormat>
    <chartFormat chart="6" format="8" series="1">
      <pivotArea type="data" outline="0" fieldPosition="0">
        <references count="2">
          <reference field="4294967294" count="1" selected="0">
            <x v="0"/>
          </reference>
          <reference field="15" count="1" selected="0">
            <x v="0"/>
          </reference>
        </references>
      </pivotArea>
    </chartFormat>
    <chartFormat chart="6" format="9" series="1">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3">
          <reference field="4294967294" count="1" selected="0">
            <x v="0"/>
          </reference>
          <reference field="13"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19328-30C8-4D56-900C-7A5AC28776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D20:G27" firstHeaderRow="1" firstDataRow="2" firstDataCol="1"/>
  <pivotFields count="18">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dataField="1"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defaultSubtotal="0"/>
    <pivotField showAll="0" defaultSubtotal="0">
      <items count="6">
        <item x="0"/>
        <item x="1"/>
        <item x="2"/>
        <item x="3"/>
        <item x="4"/>
        <item x="5"/>
      </items>
    </pivotField>
  </pivotFields>
  <rowFields count="1">
    <field x="5"/>
  </rowFields>
  <rowItems count="6">
    <i>
      <x/>
    </i>
    <i>
      <x v="1"/>
    </i>
    <i>
      <x v="2"/>
    </i>
    <i>
      <x v="3"/>
    </i>
    <i>
      <x v="4"/>
    </i>
    <i t="grand">
      <x/>
    </i>
  </rowItems>
  <colFields count="1">
    <field x="15"/>
  </colFields>
  <colItems count="3">
    <i>
      <x/>
    </i>
    <i>
      <x v="1"/>
    </i>
    <i t="grand">
      <x/>
    </i>
  </colItems>
  <dataFields count="1">
    <dataField name="Count of Order_ID" fld="1" subtotal="count" baseField="5" baseItem="0"/>
  </dataFields>
  <chartFormats count="6">
    <chartFormat chart="12" format="2" series="1">
      <pivotArea type="data" outline="0" fieldPosition="0">
        <references count="2">
          <reference field="4294967294" count="1" selected="0">
            <x v="0"/>
          </reference>
          <reference field="15" count="1" selected="0">
            <x v="0"/>
          </reference>
        </references>
      </pivotArea>
    </chartFormat>
    <chartFormat chart="12" format="3" series="1">
      <pivotArea type="data" outline="0" fieldPosition="0">
        <references count="2">
          <reference field="4294967294" count="1" selected="0">
            <x v="0"/>
          </reference>
          <reference field="15" count="1" selected="0">
            <x v="1"/>
          </reference>
        </references>
      </pivotArea>
    </chartFormat>
    <chartFormat chart="13" format="4" series="1">
      <pivotArea type="data" outline="0" fieldPosition="0">
        <references count="2">
          <reference field="4294967294" count="1" selected="0">
            <x v="0"/>
          </reference>
          <reference field="15" count="1" selected="0">
            <x v="0"/>
          </reference>
        </references>
      </pivotArea>
    </chartFormat>
    <chartFormat chart="13" format="5" series="1">
      <pivotArea type="data" outline="0" fieldPosition="0">
        <references count="2">
          <reference field="4294967294" count="1" selected="0">
            <x v="0"/>
          </reference>
          <reference field="15" count="1" selected="0">
            <x v="1"/>
          </reference>
        </references>
      </pivotArea>
    </chartFormat>
    <chartFormat chart="14" format="6" series="1">
      <pivotArea type="data" outline="0" fieldPosition="0">
        <references count="2">
          <reference field="4294967294" count="1" selected="0">
            <x v="0"/>
          </reference>
          <reference field="15" count="1" selected="0">
            <x v="0"/>
          </reference>
        </references>
      </pivotArea>
    </chartFormat>
    <chartFormat chart="14" format="7"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2B9B74-CD60-4473-BC3D-AEE5945A88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20:B26" firstHeaderRow="1" firstDataRow="1" firstDataCol="1"/>
  <pivotFields count="18">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axis="axisRow" showAll="0" measureFilter="1" sortType="descending">
      <items count="11">
        <item x="2"/>
        <item x="0"/>
        <item x="7"/>
        <item x="5"/>
        <item x="8"/>
        <item x="4"/>
        <item x="1"/>
        <item x="9"/>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3"/>
  </rowFields>
  <rowItems count="6">
    <i>
      <x/>
    </i>
    <i>
      <x v="5"/>
    </i>
    <i>
      <x v="7"/>
    </i>
    <i>
      <x v="9"/>
    </i>
    <i>
      <x v="4"/>
    </i>
    <i t="grand">
      <x/>
    </i>
  </rowItems>
  <colItems count="1">
    <i/>
  </colItems>
  <dataFields count="1">
    <dataField name="Sum of Final_Price" fld="12" baseField="0" baseItem="0"/>
  </dataFields>
  <chartFormats count="4">
    <chartFormat chart="29" format="1"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1097E6C-3B9A-4BAC-8202-D5E757D3F23E}" sourceName="Months (Order_Date)">
  <pivotTables>
    <pivotTable tabId="2" name="PivotTable2"/>
  </pivotTables>
  <data>
    <tabular pivotCacheId="556778081">
      <items count="14">
        <i x="1"/>
        <i x="2"/>
        <i x="3"/>
        <i x="4"/>
        <i x="5"/>
        <i x="6"/>
        <i x="7" s="1"/>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08583CAA-E608-4804-A946-75CF06C283C5}" cache="Slicer_Months__Order_Date" caption="Months (Order_Date)" columnCount="6" style="SlicerStyleOther2" rowHeight="257175"/>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6957-C47A-4658-A141-EE7E2BEE0E1E}">
  <dimension ref="A3:I35"/>
  <sheetViews>
    <sheetView topLeftCell="A15" workbookViewId="0">
      <selection activeCell="D39" sqref="D39"/>
    </sheetView>
  </sheetViews>
  <sheetFormatPr defaultRowHeight="15" x14ac:dyDescent="0.25"/>
  <cols>
    <col min="1" max="1" width="11.42578125" bestFit="1" customWidth="1"/>
    <col min="2" max="2" width="9" bestFit="1" customWidth="1"/>
    <col min="4" max="4" width="17.5703125" bestFit="1" customWidth="1"/>
    <col min="5" max="5" width="16.85546875" bestFit="1" customWidth="1"/>
    <col min="6" max="6" width="4.28515625" bestFit="1" customWidth="1"/>
    <col min="7" max="7" width="11.28515625" bestFit="1" customWidth="1"/>
  </cols>
  <sheetData>
    <row r="3" spans="1:8" x14ac:dyDescent="0.25">
      <c r="A3" s="6" t="s">
        <v>5</v>
      </c>
      <c r="B3" t="s">
        <v>1485</v>
      </c>
      <c r="D3" s="6" t="s">
        <v>1483</v>
      </c>
      <c r="E3" s="6" t="s">
        <v>1479</v>
      </c>
    </row>
    <row r="4" spans="1:8" x14ac:dyDescent="0.25">
      <c r="A4" s="7" t="s">
        <v>61</v>
      </c>
      <c r="B4">
        <v>19926.75</v>
      </c>
      <c r="D4" s="6" t="s">
        <v>1486</v>
      </c>
      <c r="E4" t="s">
        <v>24</v>
      </c>
      <c r="F4" t="s">
        <v>92</v>
      </c>
      <c r="G4" t="s">
        <v>1481</v>
      </c>
      <c r="H4" s="8" t="s">
        <v>1484</v>
      </c>
    </row>
    <row r="5" spans="1:8" x14ac:dyDescent="0.25">
      <c r="A5" s="7" t="s">
        <v>35</v>
      </c>
      <c r="B5">
        <v>284393.7</v>
      </c>
      <c r="D5" s="7" t="s">
        <v>44</v>
      </c>
      <c r="E5">
        <v>212</v>
      </c>
      <c r="F5">
        <v>36</v>
      </c>
      <c r="G5">
        <v>248</v>
      </c>
      <c r="H5" s="9">
        <f>GETPIVOTDATA("Order_ID",$D$3,"Payment_Mode","COD","RTO","Yes")/GETPIVOTDATA("Order_ID",$D$3,"Payment_Mode","COD")</f>
        <v>0.14516129032258066</v>
      </c>
    </row>
    <row r="6" spans="1:8" x14ac:dyDescent="0.25">
      <c r="A6" s="7" t="s">
        <v>28</v>
      </c>
      <c r="B6">
        <v>54162.65</v>
      </c>
      <c r="D6" s="7" t="s">
        <v>50</v>
      </c>
      <c r="E6">
        <v>211</v>
      </c>
      <c r="G6">
        <v>211</v>
      </c>
      <c r="H6" s="9">
        <f>GETPIVOTDATA("Order_ID",$D$3,"Payment_Mode","Credit Card","RTO","Yes")/GETPIVOTDATA("Order_ID",$D$3,"Payment_Mode","Credit Card")</f>
        <v>0</v>
      </c>
    </row>
    <row r="7" spans="1:8" x14ac:dyDescent="0.25">
      <c r="A7" s="7" t="s">
        <v>71</v>
      </c>
      <c r="B7">
        <v>22779.399999999994</v>
      </c>
      <c r="D7" s="7" t="s">
        <v>56</v>
      </c>
      <c r="E7">
        <v>146</v>
      </c>
      <c r="G7">
        <v>146</v>
      </c>
      <c r="H7" s="9">
        <f t="shared" ref="H7:H9" si="0">GETPIVOTDATA("Order_ID",$D$3,"Payment_Mode","Credit Card","RTO","Yes")/GETPIVOTDATA("Order_ID",$D$3,"Payment_Mode","Credit Card")</f>
        <v>0</v>
      </c>
    </row>
    <row r="8" spans="1:8" x14ac:dyDescent="0.25">
      <c r="A8" s="7" t="s">
        <v>20</v>
      </c>
      <c r="B8">
        <v>122716.19999999998</v>
      </c>
      <c r="D8" s="7" t="s">
        <v>38</v>
      </c>
      <c r="E8">
        <v>40</v>
      </c>
      <c r="G8">
        <v>40</v>
      </c>
      <c r="H8" s="9">
        <f t="shared" si="0"/>
        <v>0</v>
      </c>
    </row>
    <row r="9" spans="1:8" x14ac:dyDescent="0.25">
      <c r="A9" s="7" t="s">
        <v>1481</v>
      </c>
      <c r="B9">
        <v>503978.69999999995</v>
      </c>
      <c r="D9" s="7" t="s">
        <v>23</v>
      </c>
      <c r="E9">
        <v>354</v>
      </c>
      <c r="G9">
        <v>354</v>
      </c>
      <c r="H9" s="9">
        <f t="shared" si="0"/>
        <v>0</v>
      </c>
    </row>
    <row r="10" spans="1:8" x14ac:dyDescent="0.25">
      <c r="D10" s="7" t="s">
        <v>1481</v>
      </c>
      <c r="E10">
        <v>963</v>
      </c>
      <c r="F10">
        <v>36</v>
      </c>
      <c r="G10">
        <v>999</v>
      </c>
      <c r="H10" s="10">
        <f>GETPIVOTDATA("Order_ID",$D$3,"RTO","Yes")/GETPIVOTDATA("Order_ID",$D$3)</f>
        <v>3.6036036036036036E-2</v>
      </c>
    </row>
    <row r="20" spans="1:9" x14ac:dyDescent="0.25">
      <c r="A20" s="6" t="s">
        <v>1480</v>
      </c>
      <c r="B20" t="s">
        <v>1482</v>
      </c>
      <c r="D20" s="6" t="s">
        <v>1483</v>
      </c>
      <c r="E20" s="6" t="s">
        <v>1479</v>
      </c>
    </row>
    <row r="21" spans="1:9" x14ac:dyDescent="0.25">
      <c r="A21" s="7" t="s">
        <v>33</v>
      </c>
      <c r="B21">
        <v>935348.19999999972</v>
      </c>
      <c r="D21" s="6" t="s">
        <v>5</v>
      </c>
      <c r="E21" t="s">
        <v>24</v>
      </c>
      <c r="F21" t="s">
        <v>92</v>
      </c>
      <c r="G21" t="s">
        <v>1481</v>
      </c>
      <c r="H21" s="8" t="s">
        <v>1484</v>
      </c>
      <c r="I21" s="9"/>
    </row>
    <row r="22" spans="1:9" x14ac:dyDescent="0.25">
      <c r="A22" s="7" t="s">
        <v>47</v>
      </c>
      <c r="B22">
        <v>884865.04999999981</v>
      </c>
      <c r="D22" s="7" t="s">
        <v>61</v>
      </c>
      <c r="E22">
        <v>213</v>
      </c>
      <c r="F22">
        <v>7</v>
      </c>
      <c r="G22">
        <v>220</v>
      </c>
      <c r="H22" s="9">
        <f>GETPIVOTDATA("Order_ID",$D$20,"Category","Beauty","RTO","Yes")/GETPIVOTDATA("Order_ID",$D$20,"Category","Beauty")</f>
        <v>3.1818181818181815E-2</v>
      </c>
      <c r="I22" s="9"/>
    </row>
    <row r="23" spans="1:9" x14ac:dyDescent="0.25">
      <c r="A23" s="7" t="s">
        <v>174</v>
      </c>
      <c r="B23">
        <v>876924.54999999993</v>
      </c>
      <c r="D23" s="7" t="s">
        <v>35</v>
      </c>
      <c r="E23">
        <v>193</v>
      </c>
      <c r="F23">
        <v>5</v>
      </c>
      <c r="G23">
        <v>198</v>
      </c>
      <c r="H23" s="9">
        <f>GETPIVOTDATA("Order_ID",$D$20,"Category","Electronics","RTO","Yes")/GETPIVOTDATA("Order_ID",$D$20,"Category","Electronics")</f>
        <v>2.5252525252525252E-2</v>
      </c>
      <c r="I23" s="9"/>
    </row>
    <row r="24" spans="1:9" x14ac:dyDescent="0.25">
      <c r="A24" s="7" t="s">
        <v>41</v>
      </c>
      <c r="B24">
        <v>826815.15</v>
      </c>
      <c r="D24" s="7" t="s">
        <v>28</v>
      </c>
      <c r="E24">
        <v>186</v>
      </c>
      <c r="F24">
        <v>11</v>
      </c>
      <c r="G24">
        <v>197</v>
      </c>
      <c r="H24" s="9">
        <f>GETPIVOTDATA("Order_ID",$D$20,"Category","Fashion","RTO","Yes")/GETPIVOTDATA("Order_ID",$D$20,"Category","Fashion")</f>
        <v>5.5837563451776651E-2</v>
      </c>
      <c r="I24" s="9"/>
    </row>
    <row r="25" spans="1:9" x14ac:dyDescent="0.25">
      <c r="A25" s="7" t="s">
        <v>84</v>
      </c>
      <c r="B25">
        <v>792964.75</v>
      </c>
      <c r="D25" s="7" t="s">
        <v>71</v>
      </c>
      <c r="E25">
        <v>180</v>
      </c>
      <c r="F25">
        <v>7</v>
      </c>
      <c r="G25">
        <v>187</v>
      </c>
      <c r="H25" s="9">
        <f>GETPIVOTDATA("Order_ID",$D$20,"Category","Grocery","RTO","Yes")/GETPIVOTDATA("Order_ID",$D$20,"Category","Grocery")</f>
        <v>3.7433155080213901E-2</v>
      </c>
      <c r="I25" s="9"/>
    </row>
    <row r="26" spans="1:9" x14ac:dyDescent="0.25">
      <c r="A26" s="7" t="s">
        <v>1481</v>
      </c>
      <c r="B26">
        <v>4316917.6999999993</v>
      </c>
      <c r="D26" s="7" t="s">
        <v>20</v>
      </c>
      <c r="E26">
        <v>191</v>
      </c>
      <c r="F26">
        <v>6</v>
      </c>
      <c r="G26">
        <v>197</v>
      </c>
      <c r="H26" s="9">
        <f>GETPIVOTDATA("Order_ID",$D$20,"Category","Home","RTO","Yes")/GETPIVOTDATA("Order_ID",$D$20,"Category","Home")</f>
        <v>3.0456852791878174E-2</v>
      </c>
    </row>
    <row r="27" spans="1:9" x14ac:dyDescent="0.25">
      <c r="D27" s="7" t="s">
        <v>1481</v>
      </c>
      <c r="E27">
        <v>963</v>
      </c>
      <c r="F27">
        <v>36</v>
      </c>
      <c r="G27">
        <v>999</v>
      </c>
      <c r="H27" s="10">
        <f>GETPIVOTDATA("Order_ID",$D$20,"RTO","Yes")/GETPIVOTDATA("Order_ID",$D$20)</f>
        <v>3.6036036036036036E-2</v>
      </c>
    </row>
    <row r="30" spans="1:9" x14ac:dyDescent="0.25">
      <c r="A30" s="6" t="s">
        <v>1480</v>
      </c>
      <c r="B30" t="s">
        <v>1482</v>
      </c>
    </row>
    <row r="31" spans="1:9" x14ac:dyDescent="0.25">
      <c r="A31" s="7" t="s">
        <v>1487</v>
      </c>
      <c r="B31">
        <v>1494475.8</v>
      </c>
    </row>
    <row r="32" spans="1:9" x14ac:dyDescent="0.25">
      <c r="A32" s="7" t="s">
        <v>1488</v>
      </c>
      <c r="B32">
        <v>2375053.4</v>
      </c>
    </row>
    <row r="33" spans="1:2" x14ac:dyDescent="0.25">
      <c r="A33" s="7" t="s">
        <v>1489</v>
      </c>
      <c r="B33">
        <v>3104724.9000000013</v>
      </c>
    </row>
    <row r="34" spans="1:2" x14ac:dyDescent="0.25">
      <c r="A34" s="7" t="s">
        <v>1490</v>
      </c>
      <c r="B34">
        <v>650972.2999999997</v>
      </c>
    </row>
    <row r="35" spans="1:2" x14ac:dyDescent="0.25">
      <c r="A35" s="7" t="s">
        <v>1481</v>
      </c>
      <c r="B35">
        <v>7625226.4000000013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DDE8-500E-44F5-AD05-8F453A2B0E66}">
  <sheetPr>
    <pageSetUpPr fitToPage="1"/>
  </sheetPr>
  <dimension ref="A1"/>
  <sheetViews>
    <sheetView showGridLines="0" showRowColHeaders="0" zoomScale="48" zoomScaleNormal="48" workbookViewId="0">
      <selection activeCell="R20" sqref="A1:XFD1048576"/>
    </sheetView>
  </sheetViews>
  <sheetFormatPr defaultRowHeight="15" x14ac:dyDescent="0.25"/>
  <sheetData/>
  <pageMargins left="0.7" right="0.7" top="0.75" bottom="0.75" header="0.3" footer="0.3"/>
  <pageSetup scale="65"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AD18-26B9-4766-966B-F10C819C0B7B}">
  <dimension ref="A1"/>
  <sheetViews>
    <sheetView tabSelected="1" workbookViewId="0">
      <selection activeCell="R12" sqref="R1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16DD-2F00-46C5-8E9A-D4DF850A5DA6}">
  <dimension ref="A1:R1000"/>
  <sheetViews>
    <sheetView workbookViewId="0">
      <selection activeCell="C991" sqref="C991"/>
    </sheetView>
  </sheetViews>
  <sheetFormatPr defaultRowHeight="15" x14ac:dyDescent="0.25"/>
  <cols>
    <col min="1" max="1" width="11.28515625" style="5" bestFit="1" customWidth="1"/>
    <col min="2" max="2" width="10.42578125" bestFit="1" customWidth="1"/>
    <col min="3" max="3" width="12.42578125" bestFit="1" customWidth="1"/>
    <col min="4" max="4" width="11.28515625" bestFit="1" customWidth="1"/>
    <col min="5" max="5" width="11.42578125" bestFit="1" customWidth="1"/>
    <col min="6" max="6" width="9.7109375" bestFit="1" customWidth="1"/>
    <col min="7" max="7" width="13.28515625" bestFit="1" customWidth="1"/>
    <col min="8" max="8" width="17.5703125" bestFit="1" customWidth="1"/>
    <col min="9" max="9" width="4.140625" bestFit="1" customWidth="1"/>
    <col min="10" max="10" width="6" bestFit="1" customWidth="1"/>
    <col min="11" max="11" width="11.28515625" bestFit="1" customWidth="1"/>
    <col min="12" max="12" width="13.5703125" bestFit="1" customWidth="1"/>
    <col min="13" max="13" width="10.7109375" bestFit="1" customWidth="1"/>
    <col min="14" max="14" width="15.28515625" bestFit="1" customWidth="1"/>
    <col min="15" max="15" width="13.7109375" bestFit="1" customWidth="1"/>
    <col min="16" max="16" width="4.5703125" bestFit="1" customWidth="1"/>
    <col min="17" max="18" width="11.28515625" bestFit="1" customWidth="1"/>
  </cols>
  <sheetData>
    <row r="1" spans="1:18" x14ac:dyDescent="0.25">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row>
    <row r="2" spans="1:18" x14ac:dyDescent="0.25">
      <c r="A2" s="4">
        <v>44739</v>
      </c>
      <c r="B2" s="2" t="s">
        <v>16</v>
      </c>
      <c r="C2" s="2" t="s">
        <v>17</v>
      </c>
      <c r="D2" t="s">
        <v>18</v>
      </c>
      <c r="E2" s="2" t="s">
        <v>19</v>
      </c>
      <c r="F2" s="2" t="s">
        <v>20</v>
      </c>
      <c r="G2" s="2" t="s">
        <v>21</v>
      </c>
      <c r="H2" s="2" t="s">
        <v>22</v>
      </c>
      <c r="I2" s="2">
        <v>1</v>
      </c>
      <c r="J2" s="2">
        <v>1012</v>
      </c>
      <c r="K2" s="2">
        <v>0</v>
      </c>
      <c r="L2" s="2">
        <v>0</v>
      </c>
      <c r="M2" s="2">
        <v>1012</v>
      </c>
      <c r="N2" s="2" t="s">
        <v>23</v>
      </c>
      <c r="O2" s="2">
        <v>2</v>
      </c>
      <c r="P2" s="2" t="s">
        <v>24</v>
      </c>
    </row>
    <row r="3" spans="1:18" x14ac:dyDescent="0.25">
      <c r="A3" s="4">
        <v>44740</v>
      </c>
      <c r="B3" s="2" t="s">
        <v>25</v>
      </c>
      <c r="C3" s="2" t="s">
        <v>26</v>
      </c>
      <c r="D3" t="s">
        <v>27</v>
      </c>
      <c r="E3" s="2" t="s">
        <v>19</v>
      </c>
      <c r="F3" s="2" t="s">
        <v>28</v>
      </c>
      <c r="G3" s="2" t="s">
        <v>29</v>
      </c>
      <c r="H3" s="2" t="s">
        <v>30</v>
      </c>
      <c r="I3" s="2">
        <v>1</v>
      </c>
      <c r="J3" s="2">
        <v>2678</v>
      </c>
      <c r="K3" s="2">
        <v>10</v>
      </c>
      <c r="L3" s="2">
        <v>267.8</v>
      </c>
      <c r="M3" s="2">
        <v>2410.1999999999998</v>
      </c>
      <c r="N3" s="2" t="s">
        <v>23</v>
      </c>
      <c r="O3" s="2">
        <v>2</v>
      </c>
      <c r="P3" s="2" t="s">
        <v>24</v>
      </c>
    </row>
    <row r="4" spans="1:18" x14ac:dyDescent="0.25">
      <c r="A4" s="4">
        <v>44741</v>
      </c>
      <c r="B4" s="2" t="s">
        <v>31</v>
      </c>
      <c r="C4" s="2" t="s">
        <v>32</v>
      </c>
      <c r="D4" t="s">
        <v>33</v>
      </c>
      <c r="E4" s="2" t="s">
        <v>34</v>
      </c>
      <c r="F4" s="2" t="s">
        <v>35</v>
      </c>
      <c r="G4" s="2" t="s">
        <v>36</v>
      </c>
      <c r="H4" s="2" t="s">
        <v>37</v>
      </c>
      <c r="I4" s="2">
        <v>1</v>
      </c>
      <c r="J4" s="2">
        <v>23041</v>
      </c>
      <c r="K4" s="2">
        <v>5</v>
      </c>
      <c r="L4" s="2">
        <v>1152.05</v>
      </c>
      <c r="M4" s="2">
        <v>21888.95</v>
      </c>
      <c r="N4" s="2" t="s">
        <v>38</v>
      </c>
      <c r="O4" s="2">
        <v>2</v>
      </c>
      <c r="P4" s="2" t="s">
        <v>24</v>
      </c>
    </row>
    <row r="5" spans="1:18" x14ac:dyDescent="0.25">
      <c r="A5" s="4">
        <v>44742</v>
      </c>
      <c r="B5" s="2" t="s">
        <v>39</v>
      </c>
      <c r="C5" s="2" t="s">
        <v>40</v>
      </c>
      <c r="D5" t="s">
        <v>41</v>
      </c>
      <c r="E5" s="2" t="s">
        <v>19</v>
      </c>
      <c r="F5" s="2" t="s">
        <v>20</v>
      </c>
      <c r="G5" s="2" t="s">
        <v>42</v>
      </c>
      <c r="H5" s="2" t="s">
        <v>43</v>
      </c>
      <c r="I5" s="2">
        <v>2</v>
      </c>
      <c r="J5" s="2">
        <v>6632</v>
      </c>
      <c r="K5" s="2">
        <v>15</v>
      </c>
      <c r="L5" s="2">
        <v>1989.6</v>
      </c>
      <c r="M5" s="2">
        <v>11274.4</v>
      </c>
      <c r="N5" s="2" t="s">
        <v>44</v>
      </c>
      <c r="O5" s="2">
        <v>5</v>
      </c>
      <c r="P5" s="2" t="s">
        <v>24</v>
      </c>
    </row>
    <row r="6" spans="1:18" x14ac:dyDescent="0.25">
      <c r="A6" s="4">
        <v>44743</v>
      </c>
      <c r="B6" s="2" t="s">
        <v>45</v>
      </c>
      <c r="C6" s="2" t="s">
        <v>46</v>
      </c>
      <c r="D6" t="s">
        <v>47</v>
      </c>
      <c r="E6" s="2" t="s">
        <v>48</v>
      </c>
      <c r="F6" s="2" t="s">
        <v>20</v>
      </c>
      <c r="G6" s="2" t="s">
        <v>21</v>
      </c>
      <c r="H6" s="2" t="s">
        <v>49</v>
      </c>
      <c r="I6" s="2">
        <v>2</v>
      </c>
      <c r="J6" s="2">
        <v>4675</v>
      </c>
      <c r="K6" s="2">
        <v>0</v>
      </c>
      <c r="L6" s="2">
        <v>0</v>
      </c>
      <c r="M6" s="2">
        <v>9350</v>
      </c>
      <c r="N6" s="2" t="s">
        <v>50</v>
      </c>
      <c r="O6" s="2">
        <v>5</v>
      </c>
      <c r="P6" s="2" t="s">
        <v>24</v>
      </c>
    </row>
    <row r="7" spans="1:18" x14ac:dyDescent="0.25">
      <c r="A7" s="4">
        <v>44744</v>
      </c>
      <c r="B7" s="2" t="s">
        <v>51</v>
      </c>
      <c r="C7" s="2" t="s">
        <v>52</v>
      </c>
      <c r="D7" t="s">
        <v>53</v>
      </c>
      <c r="E7" s="2" t="s">
        <v>53</v>
      </c>
      <c r="F7" s="2" t="s">
        <v>20</v>
      </c>
      <c r="G7" s="2" t="s">
        <v>54</v>
      </c>
      <c r="H7" s="2" t="s">
        <v>55</v>
      </c>
      <c r="I7" s="2">
        <v>2</v>
      </c>
      <c r="J7" s="2">
        <v>2493</v>
      </c>
      <c r="K7" s="2">
        <v>15</v>
      </c>
      <c r="L7" s="2">
        <v>747.9</v>
      </c>
      <c r="M7" s="2">
        <v>4238.1000000000004</v>
      </c>
      <c r="N7" s="2" t="s">
        <v>56</v>
      </c>
      <c r="O7" s="2">
        <v>3</v>
      </c>
      <c r="P7" s="2" t="s">
        <v>24</v>
      </c>
    </row>
    <row r="8" spans="1:18" x14ac:dyDescent="0.25">
      <c r="A8" s="4">
        <v>44745</v>
      </c>
      <c r="B8" s="2" t="s">
        <v>57</v>
      </c>
      <c r="C8" s="2" t="s">
        <v>58</v>
      </c>
      <c r="D8" t="s">
        <v>59</v>
      </c>
      <c r="E8" s="2" t="s">
        <v>60</v>
      </c>
      <c r="F8" s="2" t="s">
        <v>61</v>
      </c>
      <c r="G8" s="2" t="s">
        <v>62</v>
      </c>
      <c r="H8" s="2" t="s">
        <v>63</v>
      </c>
      <c r="I8" s="2">
        <v>1</v>
      </c>
      <c r="J8" s="2">
        <v>1679</v>
      </c>
      <c r="K8" s="2">
        <v>5</v>
      </c>
      <c r="L8" s="2">
        <v>83.95</v>
      </c>
      <c r="M8" s="2">
        <v>1595.05</v>
      </c>
      <c r="N8" s="2" t="s">
        <v>56</v>
      </c>
      <c r="O8" s="2">
        <v>2</v>
      </c>
      <c r="P8" s="2" t="s">
        <v>24</v>
      </c>
    </row>
    <row r="9" spans="1:18" x14ac:dyDescent="0.25">
      <c r="A9" s="4">
        <v>44746</v>
      </c>
      <c r="B9" s="2" t="s">
        <v>64</v>
      </c>
      <c r="C9" s="2" t="s">
        <v>65</v>
      </c>
      <c r="D9" t="s">
        <v>66</v>
      </c>
      <c r="E9" s="2" t="s">
        <v>19</v>
      </c>
      <c r="F9" s="2" t="s">
        <v>35</v>
      </c>
      <c r="G9" s="2" t="s">
        <v>67</v>
      </c>
      <c r="H9" s="2" t="s">
        <v>68</v>
      </c>
      <c r="I9" s="2">
        <v>1</v>
      </c>
      <c r="J9" s="2">
        <v>10984</v>
      </c>
      <c r="K9" s="2">
        <v>5</v>
      </c>
      <c r="L9" s="2">
        <v>549.20000000000005</v>
      </c>
      <c r="M9" s="2">
        <v>10434.799999999999</v>
      </c>
      <c r="N9" s="2" t="s">
        <v>38</v>
      </c>
      <c r="O9" s="2">
        <v>3</v>
      </c>
      <c r="P9" s="2" t="s">
        <v>24</v>
      </c>
    </row>
    <row r="10" spans="1:18" x14ac:dyDescent="0.25">
      <c r="A10" s="4">
        <v>44747</v>
      </c>
      <c r="B10" s="2" t="s">
        <v>69</v>
      </c>
      <c r="C10" s="2" t="s">
        <v>70</v>
      </c>
      <c r="D10" t="s">
        <v>33</v>
      </c>
      <c r="E10" s="2" t="s">
        <v>34</v>
      </c>
      <c r="F10" s="2" t="s">
        <v>71</v>
      </c>
      <c r="G10" s="2" t="s">
        <v>72</v>
      </c>
      <c r="H10" s="2" t="s">
        <v>73</v>
      </c>
      <c r="I10" s="2">
        <v>1</v>
      </c>
      <c r="J10" s="2">
        <v>589</v>
      </c>
      <c r="K10" s="2">
        <v>20</v>
      </c>
      <c r="L10" s="2">
        <v>117.8</v>
      </c>
      <c r="M10" s="2">
        <v>471.2</v>
      </c>
      <c r="N10" s="2" t="s">
        <v>44</v>
      </c>
      <c r="O10" s="2">
        <v>4</v>
      </c>
      <c r="P10" s="2" t="s">
        <v>24</v>
      </c>
    </row>
    <row r="11" spans="1:18" x14ac:dyDescent="0.25">
      <c r="A11" s="4">
        <v>44748</v>
      </c>
      <c r="B11" s="2" t="s">
        <v>74</v>
      </c>
      <c r="C11" s="2" t="s">
        <v>75</v>
      </c>
      <c r="D11" t="s">
        <v>27</v>
      </c>
      <c r="E11" s="2" t="s">
        <v>19</v>
      </c>
      <c r="F11" s="2" t="s">
        <v>71</v>
      </c>
      <c r="G11" s="2" t="s">
        <v>76</v>
      </c>
      <c r="H11" s="2" t="s">
        <v>77</v>
      </c>
      <c r="I11" s="2">
        <v>1</v>
      </c>
      <c r="J11" s="2">
        <v>51</v>
      </c>
      <c r="K11" s="2">
        <v>5</v>
      </c>
      <c r="L11" s="2">
        <v>2.5499999999999998</v>
      </c>
      <c r="M11" s="2">
        <v>48.45</v>
      </c>
      <c r="N11" s="2" t="s">
        <v>50</v>
      </c>
      <c r="O11" s="2">
        <v>1</v>
      </c>
      <c r="P11" s="2" t="s">
        <v>24</v>
      </c>
    </row>
    <row r="12" spans="1:18" x14ac:dyDescent="0.25">
      <c r="A12" s="4">
        <v>44749</v>
      </c>
      <c r="B12" s="2" t="s">
        <v>78</v>
      </c>
      <c r="C12" s="2" t="s">
        <v>79</v>
      </c>
      <c r="D12" t="s">
        <v>53</v>
      </c>
      <c r="E12" s="2" t="s">
        <v>53</v>
      </c>
      <c r="F12" s="2" t="s">
        <v>35</v>
      </c>
      <c r="G12" s="2" t="s">
        <v>80</v>
      </c>
      <c r="H12" s="2" t="s">
        <v>81</v>
      </c>
      <c r="I12" s="2">
        <v>3</v>
      </c>
      <c r="J12" s="2">
        <v>6113</v>
      </c>
      <c r="K12" s="2">
        <v>10</v>
      </c>
      <c r="L12" s="2">
        <v>1833.9</v>
      </c>
      <c r="M12" s="2">
        <v>16505.099999999999</v>
      </c>
      <c r="N12" s="2" t="s">
        <v>23</v>
      </c>
      <c r="O12" s="2">
        <v>2</v>
      </c>
      <c r="P12" s="2" t="s">
        <v>24</v>
      </c>
    </row>
    <row r="13" spans="1:18" x14ac:dyDescent="0.25">
      <c r="A13" s="4">
        <v>44750</v>
      </c>
      <c r="B13" s="2" t="s">
        <v>82</v>
      </c>
      <c r="C13" s="2" t="s">
        <v>83</v>
      </c>
      <c r="D13" t="s">
        <v>84</v>
      </c>
      <c r="E13" s="2" t="s">
        <v>85</v>
      </c>
      <c r="F13" s="2" t="s">
        <v>71</v>
      </c>
      <c r="G13" s="2" t="s">
        <v>86</v>
      </c>
      <c r="H13" s="2" t="s">
        <v>87</v>
      </c>
      <c r="I13" s="2">
        <v>3</v>
      </c>
      <c r="J13" s="2">
        <v>867</v>
      </c>
      <c r="K13" s="2">
        <v>20</v>
      </c>
      <c r="L13" s="2">
        <v>520.20000000000005</v>
      </c>
      <c r="M13" s="2">
        <v>2080.8000000000002</v>
      </c>
      <c r="N13" s="2" t="s">
        <v>56</v>
      </c>
      <c r="O13" s="2">
        <v>2</v>
      </c>
      <c r="P13" s="2" t="s">
        <v>24</v>
      </c>
    </row>
    <row r="14" spans="1:18" x14ac:dyDescent="0.25">
      <c r="A14" s="4">
        <v>44751</v>
      </c>
      <c r="B14" s="2" t="s">
        <v>88</v>
      </c>
      <c r="C14" s="2" t="s">
        <v>89</v>
      </c>
      <c r="D14" t="s">
        <v>33</v>
      </c>
      <c r="E14" s="2" t="s">
        <v>34</v>
      </c>
      <c r="F14" s="2" t="s">
        <v>28</v>
      </c>
      <c r="G14" s="2" t="s">
        <v>90</v>
      </c>
      <c r="H14" s="2" t="s">
        <v>91</v>
      </c>
      <c r="I14" s="2">
        <v>1</v>
      </c>
      <c r="J14" s="2">
        <v>4937</v>
      </c>
      <c r="K14" s="2">
        <v>0</v>
      </c>
      <c r="L14" s="2">
        <v>0</v>
      </c>
      <c r="M14" s="2">
        <v>4937</v>
      </c>
      <c r="N14" s="2" t="s">
        <v>44</v>
      </c>
      <c r="O14" s="2">
        <v>2</v>
      </c>
      <c r="P14" s="2" t="s">
        <v>92</v>
      </c>
    </row>
    <row r="15" spans="1:18" x14ac:dyDescent="0.25">
      <c r="A15" s="4">
        <v>44752</v>
      </c>
      <c r="B15" s="2" t="s">
        <v>93</v>
      </c>
      <c r="C15" s="2" t="s">
        <v>94</v>
      </c>
      <c r="D15" t="s">
        <v>33</v>
      </c>
      <c r="E15" s="2" t="s">
        <v>34</v>
      </c>
      <c r="F15" s="2" t="s">
        <v>71</v>
      </c>
      <c r="G15" s="2" t="s">
        <v>76</v>
      </c>
      <c r="H15" s="2" t="s">
        <v>95</v>
      </c>
      <c r="I15" s="2">
        <v>1</v>
      </c>
      <c r="J15" s="2">
        <v>1219</v>
      </c>
      <c r="K15" s="2">
        <v>5</v>
      </c>
      <c r="L15" s="2">
        <v>60.95</v>
      </c>
      <c r="M15" s="2">
        <v>1158.05</v>
      </c>
      <c r="N15" s="2" t="s">
        <v>23</v>
      </c>
      <c r="O15" s="2">
        <v>2</v>
      </c>
      <c r="P15" s="2" t="s">
        <v>24</v>
      </c>
    </row>
    <row r="16" spans="1:18" x14ac:dyDescent="0.25">
      <c r="A16" s="4">
        <v>44753</v>
      </c>
      <c r="B16" s="2" t="s">
        <v>96</v>
      </c>
      <c r="C16" s="2" t="s">
        <v>97</v>
      </c>
      <c r="D16" t="s">
        <v>33</v>
      </c>
      <c r="E16" s="2" t="s">
        <v>34</v>
      </c>
      <c r="F16" s="2" t="s">
        <v>35</v>
      </c>
      <c r="G16" s="2" t="s">
        <v>36</v>
      </c>
      <c r="H16" s="2" t="s">
        <v>98</v>
      </c>
      <c r="I16" s="2">
        <v>1</v>
      </c>
      <c r="J16" s="2">
        <v>31106</v>
      </c>
      <c r="K16" s="2">
        <v>0</v>
      </c>
      <c r="L16" s="2">
        <v>0</v>
      </c>
      <c r="M16" s="2">
        <v>31106</v>
      </c>
      <c r="N16" s="2" t="s">
        <v>50</v>
      </c>
      <c r="O16" s="2">
        <v>2</v>
      </c>
      <c r="P16" s="2" t="s">
        <v>24</v>
      </c>
    </row>
    <row r="17" spans="1:16" x14ac:dyDescent="0.25">
      <c r="A17" s="4">
        <v>44754</v>
      </c>
      <c r="B17" s="2" t="s">
        <v>99</v>
      </c>
      <c r="C17" s="2" t="s">
        <v>100</v>
      </c>
      <c r="D17" t="s">
        <v>53</v>
      </c>
      <c r="E17" s="2" t="s">
        <v>53</v>
      </c>
      <c r="F17" s="2" t="s">
        <v>28</v>
      </c>
      <c r="G17" s="2" t="s">
        <v>29</v>
      </c>
      <c r="H17" s="2" t="s">
        <v>30</v>
      </c>
      <c r="I17" s="2">
        <v>1</v>
      </c>
      <c r="J17" s="2">
        <v>2681</v>
      </c>
      <c r="K17" s="2">
        <v>5</v>
      </c>
      <c r="L17" s="2">
        <v>134.05000000000001</v>
      </c>
      <c r="M17" s="2">
        <v>2546.9499999999998</v>
      </c>
      <c r="N17" s="2" t="s">
        <v>44</v>
      </c>
      <c r="O17" s="2">
        <v>4</v>
      </c>
      <c r="P17" s="2" t="s">
        <v>92</v>
      </c>
    </row>
    <row r="18" spans="1:16" x14ac:dyDescent="0.25">
      <c r="A18" s="4">
        <v>44755</v>
      </c>
      <c r="B18" s="2" t="s">
        <v>101</v>
      </c>
      <c r="C18" s="2" t="s">
        <v>102</v>
      </c>
      <c r="D18" t="s">
        <v>33</v>
      </c>
      <c r="E18" s="2" t="s">
        <v>34</v>
      </c>
      <c r="F18" s="2" t="s">
        <v>28</v>
      </c>
      <c r="G18" s="2" t="s">
        <v>90</v>
      </c>
      <c r="H18" s="2" t="s">
        <v>103</v>
      </c>
      <c r="I18" s="2">
        <v>1</v>
      </c>
      <c r="J18" s="2">
        <v>3685</v>
      </c>
      <c r="K18" s="2">
        <v>5</v>
      </c>
      <c r="L18" s="2">
        <v>184.25</v>
      </c>
      <c r="M18" s="2">
        <v>3500.75</v>
      </c>
      <c r="N18" s="2" t="s">
        <v>38</v>
      </c>
      <c r="O18" s="2">
        <v>2</v>
      </c>
      <c r="P18" s="2" t="s">
        <v>24</v>
      </c>
    </row>
    <row r="19" spans="1:16" x14ac:dyDescent="0.25">
      <c r="A19" s="4">
        <v>44756</v>
      </c>
      <c r="B19" s="2" t="s">
        <v>104</v>
      </c>
      <c r="C19" s="2" t="s">
        <v>105</v>
      </c>
      <c r="D19" t="s">
        <v>59</v>
      </c>
      <c r="E19" s="2" t="s">
        <v>60</v>
      </c>
      <c r="F19" s="2" t="s">
        <v>71</v>
      </c>
      <c r="G19" s="2" t="s">
        <v>106</v>
      </c>
      <c r="H19" s="2" t="s">
        <v>107</v>
      </c>
      <c r="I19" s="2">
        <v>1</v>
      </c>
      <c r="J19" s="2">
        <v>1160</v>
      </c>
      <c r="K19" s="2">
        <v>0</v>
      </c>
      <c r="L19" s="2">
        <v>0</v>
      </c>
      <c r="M19" s="2">
        <v>1160</v>
      </c>
      <c r="N19" s="2" t="s">
        <v>23</v>
      </c>
      <c r="O19" s="2">
        <v>1</v>
      </c>
      <c r="P19" s="2" t="s">
        <v>24</v>
      </c>
    </row>
    <row r="20" spans="1:16" x14ac:dyDescent="0.25">
      <c r="A20" s="4">
        <v>44757</v>
      </c>
      <c r="B20" s="2" t="s">
        <v>108</v>
      </c>
      <c r="C20" s="2" t="s">
        <v>109</v>
      </c>
      <c r="D20" t="s">
        <v>27</v>
      </c>
      <c r="E20" s="2" t="s">
        <v>19</v>
      </c>
      <c r="F20" s="2" t="s">
        <v>28</v>
      </c>
      <c r="G20" s="2" t="s">
        <v>110</v>
      </c>
      <c r="H20" s="2" t="s">
        <v>111</v>
      </c>
      <c r="I20" s="2">
        <v>1</v>
      </c>
      <c r="J20" s="2">
        <v>961</v>
      </c>
      <c r="K20" s="2">
        <v>15</v>
      </c>
      <c r="L20" s="2">
        <v>144.15</v>
      </c>
      <c r="M20" s="2">
        <v>816.85</v>
      </c>
      <c r="N20" s="2" t="s">
        <v>50</v>
      </c>
      <c r="O20" s="2">
        <v>4</v>
      </c>
      <c r="P20" s="2" t="s">
        <v>24</v>
      </c>
    </row>
    <row r="21" spans="1:16" x14ac:dyDescent="0.25">
      <c r="A21" s="4">
        <v>44758</v>
      </c>
      <c r="B21" s="2" t="s">
        <v>112</v>
      </c>
      <c r="C21" s="2" t="s">
        <v>113</v>
      </c>
      <c r="D21" t="s">
        <v>41</v>
      </c>
      <c r="E21" s="2" t="s">
        <v>19</v>
      </c>
      <c r="F21" s="2" t="s">
        <v>71</v>
      </c>
      <c r="G21" s="2" t="s">
        <v>114</v>
      </c>
      <c r="H21" s="2" t="s">
        <v>115</v>
      </c>
      <c r="I21" s="2">
        <v>1</v>
      </c>
      <c r="J21" s="2">
        <v>468</v>
      </c>
      <c r="K21" s="2">
        <v>10</v>
      </c>
      <c r="L21" s="2">
        <v>46.8</v>
      </c>
      <c r="M21" s="2">
        <v>421.2</v>
      </c>
      <c r="N21" s="2" t="s">
        <v>23</v>
      </c>
      <c r="O21" s="2">
        <v>2</v>
      </c>
      <c r="P21" s="2" t="s">
        <v>24</v>
      </c>
    </row>
    <row r="22" spans="1:16" x14ac:dyDescent="0.25">
      <c r="A22" s="4">
        <v>44759</v>
      </c>
      <c r="B22" s="2" t="s">
        <v>116</v>
      </c>
      <c r="C22" s="2" t="s">
        <v>117</v>
      </c>
      <c r="D22" t="s">
        <v>66</v>
      </c>
      <c r="E22" s="2" t="s">
        <v>19</v>
      </c>
      <c r="F22" s="2" t="s">
        <v>20</v>
      </c>
      <c r="G22" s="2" t="s">
        <v>54</v>
      </c>
      <c r="H22" s="2" t="s">
        <v>118</v>
      </c>
      <c r="I22" s="2">
        <v>1</v>
      </c>
      <c r="J22" s="2">
        <v>900</v>
      </c>
      <c r="K22" s="2">
        <v>5</v>
      </c>
      <c r="L22" s="2">
        <v>45</v>
      </c>
      <c r="M22" s="2">
        <v>855</v>
      </c>
      <c r="N22" s="2" t="s">
        <v>23</v>
      </c>
      <c r="O22" s="2">
        <v>2</v>
      </c>
      <c r="P22" s="2" t="s">
        <v>24</v>
      </c>
    </row>
    <row r="23" spans="1:16" x14ac:dyDescent="0.25">
      <c r="A23" s="4">
        <v>44760</v>
      </c>
      <c r="B23" s="2" t="s">
        <v>119</v>
      </c>
      <c r="C23" s="2" t="s">
        <v>120</v>
      </c>
      <c r="D23" t="s">
        <v>47</v>
      </c>
      <c r="E23" s="2" t="s">
        <v>48</v>
      </c>
      <c r="F23" s="2" t="s">
        <v>20</v>
      </c>
      <c r="G23" s="2" t="s">
        <v>21</v>
      </c>
      <c r="H23" s="2" t="s">
        <v>121</v>
      </c>
      <c r="I23" s="2">
        <v>2</v>
      </c>
      <c r="J23" s="2">
        <v>364</v>
      </c>
      <c r="K23" s="2">
        <v>0</v>
      </c>
      <c r="L23" s="2">
        <v>0</v>
      </c>
      <c r="M23" s="2">
        <v>728</v>
      </c>
      <c r="N23" s="2" t="s">
        <v>56</v>
      </c>
      <c r="O23" s="2">
        <v>4</v>
      </c>
      <c r="P23" s="2" t="s">
        <v>24</v>
      </c>
    </row>
    <row r="24" spans="1:16" x14ac:dyDescent="0.25">
      <c r="A24" s="4">
        <v>44761</v>
      </c>
      <c r="B24" s="2" t="s">
        <v>122</v>
      </c>
      <c r="C24" s="2" t="s">
        <v>123</v>
      </c>
      <c r="D24" t="s">
        <v>33</v>
      </c>
      <c r="E24" s="2" t="s">
        <v>34</v>
      </c>
      <c r="F24" s="2" t="s">
        <v>35</v>
      </c>
      <c r="G24" s="2" t="s">
        <v>124</v>
      </c>
      <c r="H24" s="2" t="s">
        <v>125</v>
      </c>
      <c r="I24" s="2">
        <v>1</v>
      </c>
      <c r="J24" s="2">
        <v>14303</v>
      </c>
      <c r="K24" s="2">
        <v>15</v>
      </c>
      <c r="L24" s="2">
        <v>2145.4499999999998</v>
      </c>
      <c r="M24" s="2">
        <v>12157.55</v>
      </c>
      <c r="N24" s="2" t="s">
        <v>50</v>
      </c>
      <c r="O24" s="2">
        <v>2</v>
      </c>
      <c r="P24" s="2" t="s">
        <v>24</v>
      </c>
    </row>
    <row r="25" spans="1:16" x14ac:dyDescent="0.25">
      <c r="A25" s="4">
        <v>44762</v>
      </c>
      <c r="B25" s="2" t="s">
        <v>126</v>
      </c>
      <c r="C25" s="2" t="s">
        <v>127</v>
      </c>
      <c r="D25" t="s">
        <v>59</v>
      </c>
      <c r="E25" s="2" t="s">
        <v>60</v>
      </c>
      <c r="F25" s="2" t="s">
        <v>20</v>
      </c>
      <c r="G25" s="2" t="s">
        <v>54</v>
      </c>
      <c r="H25" s="2" t="s">
        <v>118</v>
      </c>
      <c r="I25" s="2">
        <v>1</v>
      </c>
      <c r="J25" s="2">
        <v>1623</v>
      </c>
      <c r="K25" s="2">
        <v>5</v>
      </c>
      <c r="L25" s="2">
        <v>81.150000000000006</v>
      </c>
      <c r="M25" s="2">
        <v>1541.85</v>
      </c>
      <c r="N25" s="2" t="s">
        <v>50</v>
      </c>
      <c r="O25" s="2">
        <v>1</v>
      </c>
      <c r="P25" s="2" t="s">
        <v>24</v>
      </c>
    </row>
    <row r="26" spans="1:16" x14ac:dyDescent="0.25">
      <c r="A26" s="4">
        <v>44763</v>
      </c>
      <c r="B26" s="2" t="s">
        <v>128</v>
      </c>
      <c r="C26" s="2" t="s">
        <v>129</v>
      </c>
      <c r="D26" t="s">
        <v>27</v>
      </c>
      <c r="E26" s="2" t="s">
        <v>19</v>
      </c>
      <c r="F26" s="2" t="s">
        <v>35</v>
      </c>
      <c r="G26" s="2" t="s">
        <v>130</v>
      </c>
      <c r="H26" s="2" t="s">
        <v>131</v>
      </c>
      <c r="I26" s="2">
        <v>1</v>
      </c>
      <c r="J26" s="2">
        <v>28666</v>
      </c>
      <c r="K26" s="2">
        <v>15</v>
      </c>
      <c r="L26" s="2">
        <v>4299.8999999999996</v>
      </c>
      <c r="M26" s="2">
        <v>24366.1</v>
      </c>
      <c r="N26" s="2" t="s">
        <v>44</v>
      </c>
      <c r="O26" s="2">
        <v>8</v>
      </c>
      <c r="P26" s="2" t="s">
        <v>24</v>
      </c>
    </row>
    <row r="27" spans="1:16" x14ac:dyDescent="0.25">
      <c r="A27" s="4">
        <v>44764</v>
      </c>
      <c r="B27" s="2" t="s">
        <v>132</v>
      </c>
      <c r="C27" s="2" t="s">
        <v>100</v>
      </c>
      <c r="D27" t="s">
        <v>33</v>
      </c>
      <c r="E27" s="2" t="s">
        <v>34</v>
      </c>
      <c r="F27" s="2" t="s">
        <v>20</v>
      </c>
      <c r="G27" s="2" t="s">
        <v>42</v>
      </c>
      <c r="H27" s="2" t="s">
        <v>133</v>
      </c>
      <c r="I27" s="2">
        <v>3</v>
      </c>
      <c r="J27" s="2">
        <v>7382</v>
      </c>
      <c r="K27" s="2">
        <v>15</v>
      </c>
      <c r="L27" s="2">
        <v>3321.9</v>
      </c>
      <c r="M27" s="2">
        <v>18824.099999999999</v>
      </c>
      <c r="N27" s="2" t="s">
        <v>23</v>
      </c>
      <c r="O27" s="2">
        <v>3</v>
      </c>
      <c r="P27" s="2" t="s">
        <v>24</v>
      </c>
    </row>
    <row r="28" spans="1:16" x14ac:dyDescent="0.25">
      <c r="A28" s="4">
        <v>44765</v>
      </c>
      <c r="B28" s="2" t="s">
        <v>134</v>
      </c>
      <c r="C28" s="2" t="s">
        <v>135</v>
      </c>
      <c r="D28" t="s">
        <v>53</v>
      </c>
      <c r="E28" s="2" t="s">
        <v>53</v>
      </c>
      <c r="F28" s="2" t="s">
        <v>20</v>
      </c>
      <c r="G28" s="2" t="s">
        <v>21</v>
      </c>
      <c r="H28" s="2" t="s">
        <v>136</v>
      </c>
      <c r="I28" s="2">
        <v>1</v>
      </c>
      <c r="J28" s="2">
        <v>2122</v>
      </c>
      <c r="K28" s="2">
        <v>5</v>
      </c>
      <c r="L28" s="2">
        <v>106.1</v>
      </c>
      <c r="M28" s="2">
        <v>2015.9</v>
      </c>
      <c r="N28" s="2" t="s">
        <v>44</v>
      </c>
      <c r="O28" s="2">
        <v>5</v>
      </c>
      <c r="P28" s="2" t="s">
        <v>24</v>
      </c>
    </row>
    <row r="29" spans="1:16" x14ac:dyDescent="0.25">
      <c r="A29" s="4">
        <v>44766</v>
      </c>
      <c r="B29" s="2" t="s">
        <v>137</v>
      </c>
      <c r="C29" s="2" t="s">
        <v>138</v>
      </c>
      <c r="D29" t="s">
        <v>59</v>
      </c>
      <c r="E29" s="2" t="s">
        <v>60</v>
      </c>
      <c r="F29" s="2" t="s">
        <v>20</v>
      </c>
      <c r="G29" s="2" t="s">
        <v>139</v>
      </c>
      <c r="H29" s="2" t="s">
        <v>140</v>
      </c>
      <c r="I29" s="2">
        <v>3</v>
      </c>
      <c r="J29" s="2">
        <v>5555</v>
      </c>
      <c r="K29" s="2">
        <v>10</v>
      </c>
      <c r="L29" s="2">
        <v>1666.5</v>
      </c>
      <c r="M29" s="2">
        <v>14998.5</v>
      </c>
      <c r="N29" s="2" t="s">
        <v>44</v>
      </c>
      <c r="O29" s="2">
        <v>3</v>
      </c>
      <c r="P29" s="2" t="s">
        <v>92</v>
      </c>
    </row>
    <row r="30" spans="1:16" x14ac:dyDescent="0.25">
      <c r="A30" s="4">
        <v>44767</v>
      </c>
      <c r="B30" s="2" t="s">
        <v>141</v>
      </c>
      <c r="C30" s="2" t="s">
        <v>123</v>
      </c>
      <c r="D30" t="s">
        <v>18</v>
      </c>
      <c r="E30" s="2" t="s">
        <v>19</v>
      </c>
      <c r="F30" s="2" t="s">
        <v>35</v>
      </c>
      <c r="G30" s="2" t="s">
        <v>124</v>
      </c>
      <c r="H30" s="2" t="s">
        <v>142</v>
      </c>
      <c r="I30" s="2">
        <v>1</v>
      </c>
      <c r="J30" s="2">
        <v>21057</v>
      </c>
      <c r="K30" s="2">
        <v>5</v>
      </c>
      <c r="L30" s="2">
        <v>1052.8499999999999</v>
      </c>
      <c r="M30" s="2">
        <v>20004.150000000001</v>
      </c>
      <c r="N30" s="2" t="s">
        <v>56</v>
      </c>
      <c r="O30" s="2">
        <v>2</v>
      </c>
      <c r="P30" s="2" t="s">
        <v>24</v>
      </c>
    </row>
    <row r="31" spans="1:16" x14ac:dyDescent="0.25">
      <c r="A31" s="4">
        <v>44768</v>
      </c>
      <c r="B31" s="2" t="s">
        <v>143</v>
      </c>
      <c r="C31" s="2" t="s">
        <v>144</v>
      </c>
      <c r="D31" t="s">
        <v>18</v>
      </c>
      <c r="E31" s="2" t="s">
        <v>19</v>
      </c>
      <c r="F31" s="2" t="s">
        <v>71</v>
      </c>
      <c r="G31" s="2" t="s">
        <v>86</v>
      </c>
      <c r="H31" s="2" t="s">
        <v>145</v>
      </c>
      <c r="I31" s="2">
        <v>1</v>
      </c>
      <c r="J31" s="2">
        <v>1408</v>
      </c>
      <c r="K31" s="2">
        <v>15</v>
      </c>
      <c r="L31" s="2">
        <v>211.2</v>
      </c>
      <c r="M31" s="2">
        <v>1196.8</v>
      </c>
      <c r="N31" s="2" t="s">
        <v>44</v>
      </c>
      <c r="O31" s="2">
        <v>3</v>
      </c>
      <c r="P31" s="2" t="s">
        <v>24</v>
      </c>
    </row>
    <row r="32" spans="1:16" x14ac:dyDescent="0.25">
      <c r="A32" s="4">
        <v>44769</v>
      </c>
      <c r="B32" s="2" t="s">
        <v>146</v>
      </c>
      <c r="C32" s="2" t="s">
        <v>147</v>
      </c>
      <c r="D32" t="s">
        <v>59</v>
      </c>
      <c r="E32" s="2" t="s">
        <v>60</v>
      </c>
      <c r="F32" s="2" t="s">
        <v>20</v>
      </c>
      <c r="G32" s="2" t="s">
        <v>42</v>
      </c>
      <c r="H32" s="2" t="s">
        <v>43</v>
      </c>
      <c r="I32" s="2">
        <v>1</v>
      </c>
      <c r="J32" s="2">
        <v>5342</v>
      </c>
      <c r="K32" s="2">
        <v>5</v>
      </c>
      <c r="L32" s="2">
        <v>267.10000000000002</v>
      </c>
      <c r="M32" s="2">
        <v>5074.8999999999996</v>
      </c>
      <c r="N32" s="2" t="s">
        <v>44</v>
      </c>
      <c r="O32" s="2">
        <v>3</v>
      </c>
      <c r="P32" s="2" t="s">
        <v>24</v>
      </c>
    </row>
    <row r="33" spans="1:16" x14ac:dyDescent="0.25">
      <c r="A33" s="4">
        <v>44770</v>
      </c>
      <c r="B33" s="2" t="s">
        <v>148</v>
      </c>
      <c r="C33" s="2" t="s">
        <v>149</v>
      </c>
      <c r="D33" t="s">
        <v>66</v>
      </c>
      <c r="E33" s="2" t="s">
        <v>19</v>
      </c>
      <c r="F33" s="2" t="s">
        <v>61</v>
      </c>
      <c r="G33" s="2" t="s">
        <v>150</v>
      </c>
      <c r="H33" s="2" t="s">
        <v>151</v>
      </c>
      <c r="I33" s="2">
        <v>1</v>
      </c>
      <c r="J33" s="2">
        <v>1205</v>
      </c>
      <c r="K33" s="2">
        <v>10</v>
      </c>
      <c r="L33" s="2">
        <v>120.5</v>
      </c>
      <c r="M33" s="2">
        <v>1084.5</v>
      </c>
      <c r="N33" s="2" t="s">
        <v>23</v>
      </c>
      <c r="O33" s="2">
        <v>4</v>
      </c>
      <c r="P33" s="2" t="s">
        <v>24</v>
      </c>
    </row>
    <row r="34" spans="1:16" x14ac:dyDescent="0.25">
      <c r="A34" s="4">
        <v>44771</v>
      </c>
      <c r="B34" s="2" t="s">
        <v>152</v>
      </c>
      <c r="C34" s="2" t="s">
        <v>153</v>
      </c>
      <c r="D34" t="s">
        <v>53</v>
      </c>
      <c r="E34" s="2" t="s">
        <v>53</v>
      </c>
      <c r="F34" s="2" t="s">
        <v>28</v>
      </c>
      <c r="G34" s="2" t="s">
        <v>90</v>
      </c>
      <c r="H34" s="2" t="s">
        <v>91</v>
      </c>
      <c r="I34" s="2">
        <v>1</v>
      </c>
      <c r="J34" s="2">
        <v>996</v>
      </c>
      <c r="K34" s="2">
        <v>5</v>
      </c>
      <c r="L34" s="2">
        <v>49.8</v>
      </c>
      <c r="M34" s="2">
        <v>946.2</v>
      </c>
      <c r="N34" s="2" t="s">
        <v>44</v>
      </c>
      <c r="O34" s="2">
        <v>3</v>
      </c>
      <c r="P34" s="2" t="s">
        <v>24</v>
      </c>
    </row>
    <row r="35" spans="1:16" x14ac:dyDescent="0.25">
      <c r="A35" s="4">
        <v>44772</v>
      </c>
      <c r="B35" s="2" t="s">
        <v>154</v>
      </c>
      <c r="C35" s="2" t="s">
        <v>155</v>
      </c>
      <c r="D35" t="s">
        <v>33</v>
      </c>
      <c r="E35" s="2" t="s">
        <v>34</v>
      </c>
      <c r="F35" s="2" t="s">
        <v>61</v>
      </c>
      <c r="G35" s="2" t="s">
        <v>62</v>
      </c>
      <c r="H35" s="2" t="s">
        <v>156</v>
      </c>
      <c r="I35" s="2">
        <v>2</v>
      </c>
      <c r="J35" s="2">
        <v>1291</v>
      </c>
      <c r="K35" s="2">
        <v>15</v>
      </c>
      <c r="L35" s="2">
        <v>387.3</v>
      </c>
      <c r="M35" s="2">
        <v>2194.6999999999998</v>
      </c>
      <c r="N35" s="2" t="s">
        <v>23</v>
      </c>
      <c r="O35" s="2">
        <v>1</v>
      </c>
      <c r="P35" s="2" t="s">
        <v>24</v>
      </c>
    </row>
    <row r="36" spans="1:16" x14ac:dyDescent="0.25">
      <c r="A36" s="4">
        <v>44773</v>
      </c>
      <c r="B36" s="2" t="s">
        <v>157</v>
      </c>
      <c r="C36" s="2" t="s">
        <v>158</v>
      </c>
      <c r="D36" t="s">
        <v>27</v>
      </c>
      <c r="E36" s="2" t="s">
        <v>19</v>
      </c>
      <c r="F36" s="2" t="s">
        <v>71</v>
      </c>
      <c r="G36" s="2" t="s">
        <v>72</v>
      </c>
      <c r="H36" s="2" t="s">
        <v>159</v>
      </c>
      <c r="I36" s="2">
        <v>1</v>
      </c>
      <c r="J36" s="2">
        <v>963</v>
      </c>
      <c r="K36" s="2">
        <v>15</v>
      </c>
      <c r="L36" s="2">
        <v>144.44999999999999</v>
      </c>
      <c r="M36" s="2">
        <v>818.55</v>
      </c>
      <c r="N36" s="2" t="s">
        <v>44</v>
      </c>
      <c r="O36" s="2">
        <v>6</v>
      </c>
      <c r="P36" s="2" t="s">
        <v>24</v>
      </c>
    </row>
    <row r="37" spans="1:16" x14ac:dyDescent="0.25">
      <c r="A37" s="4">
        <v>44774</v>
      </c>
      <c r="B37" s="2" t="s">
        <v>160</v>
      </c>
      <c r="C37" s="2" t="s">
        <v>161</v>
      </c>
      <c r="D37" t="s">
        <v>27</v>
      </c>
      <c r="E37" s="2" t="s">
        <v>19</v>
      </c>
      <c r="F37" s="2" t="s">
        <v>61</v>
      </c>
      <c r="G37" s="2" t="s">
        <v>62</v>
      </c>
      <c r="H37" s="2" t="s">
        <v>63</v>
      </c>
      <c r="I37" s="2">
        <v>1</v>
      </c>
      <c r="J37" s="2">
        <v>837</v>
      </c>
      <c r="K37" s="2">
        <v>15</v>
      </c>
      <c r="L37" s="2">
        <v>125.55</v>
      </c>
      <c r="M37" s="2">
        <v>711.45</v>
      </c>
      <c r="N37" s="2" t="s">
        <v>23</v>
      </c>
      <c r="O37" s="2">
        <v>2</v>
      </c>
      <c r="P37" s="2" t="s">
        <v>24</v>
      </c>
    </row>
    <row r="38" spans="1:16" x14ac:dyDescent="0.25">
      <c r="A38" s="4">
        <v>44775</v>
      </c>
      <c r="B38" s="2" t="s">
        <v>162</v>
      </c>
      <c r="C38" s="2" t="s">
        <v>163</v>
      </c>
      <c r="D38" t="s">
        <v>53</v>
      </c>
      <c r="E38" s="2" t="s">
        <v>53</v>
      </c>
      <c r="F38" s="2" t="s">
        <v>35</v>
      </c>
      <c r="G38" s="2" t="s">
        <v>36</v>
      </c>
      <c r="H38" s="2" t="s">
        <v>164</v>
      </c>
      <c r="I38" s="2">
        <v>1</v>
      </c>
      <c r="J38" s="2">
        <v>31034</v>
      </c>
      <c r="K38" s="2">
        <v>5</v>
      </c>
      <c r="L38" s="2">
        <v>1551.7</v>
      </c>
      <c r="M38" s="2">
        <v>29482.3</v>
      </c>
      <c r="N38" s="2" t="s">
        <v>44</v>
      </c>
      <c r="O38" s="2">
        <v>5</v>
      </c>
      <c r="P38" s="2" t="s">
        <v>92</v>
      </c>
    </row>
    <row r="39" spans="1:16" x14ac:dyDescent="0.25">
      <c r="A39" s="4">
        <v>44776</v>
      </c>
      <c r="B39" s="2" t="s">
        <v>165</v>
      </c>
      <c r="C39" s="2" t="s">
        <v>166</v>
      </c>
      <c r="D39" t="s">
        <v>66</v>
      </c>
      <c r="E39" s="2" t="s">
        <v>19</v>
      </c>
      <c r="F39" s="2" t="s">
        <v>35</v>
      </c>
      <c r="G39" s="2" t="s">
        <v>130</v>
      </c>
      <c r="H39" s="2" t="s">
        <v>167</v>
      </c>
      <c r="I39" s="2">
        <v>2</v>
      </c>
      <c r="J39" s="2">
        <v>27960</v>
      </c>
      <c r="K39" s="2">
        <v>10</v>
      </c>
      <c r="L39" s="2">
        <v>5592</v>
      </c>
      <c r="M39" s="2">
        <v>50328</v>
      </c>
      <c r="N39" s="2" t="s">
        <v>44</v>
      </c>
      <c r="O39" s="2">
        <v>6</v>
      </c>
      <c r="P39" s="2" t="s">
        <v>24</v>
      </c>
    </row>
    <row r="40" spans="1:16" x14ac:dyDescent="0.25">
      <c r="A40" s="4">
        <v>44777</v>
      </c>
      <c r="B40" s="2" t="s">
        <v>168</v>
      </c>
      <c r="C40" s="2" t="s">
        <v>169</v>
      </c>
      <c r="D40" t="s">
        <v>59</v>
      </c>
      <c r="E40" s="2" t="s">
        <v>60</v>
      </c>
      <c r="F40" s="2" t="s">
        <v>20</v>
      </c>
      <c r="G40" s="2" t="s">
        <v>170</v>
      </c>
      <c r="H40" s="2" t="s">
        <v>171</v>
      </c>
      <c r="I40" s="2">
        <v>2</v>
      </c>
      <c r="J40" s="2">
        <v>520</v>
      </c>
      <c r="K40" s="2">
        <v>5</v>
      </c>
      <c r="L40" s="2">
        <v>52</v>
      </c>
      <c r="M40" s="2">
        <v>988</v>
      </c>
      <c r="N40" s="2" t="s">
        <v>23</v>
      </c>
      <c r="O40" s="2">
        <v>3</v>
      </c>
      <c r="P40" s="2" t="s">
        <v>24</v>
      </c>
    </row>
    <row r="41" spans="1:16" x14ac:dyDescent="0.25">
      <c r="A41" s="4">
        <v>44778</v>
      </c>
      <c r="B41" s="2" t="s">
        <v>172</v>
      </c>
      <c r="C41" s="2" t="s">
        <v>173</v>
      </c>
      <c r="D41" t="s">
        <v>174</v>
      </c>
      <c r="E41" s="2" t="s">
        <v>60</v>
      </c>
      <c r="F41" s="2" t="s">
        <v>35</v>
      </c>
      <c r="G41" s="2" t="s">
        <v>130</v>
      </c>
      <c r="H41" s="2" t="s">
        <v>175</v>
      </c>
      <c r="I41" s="2">
        <v>1</v>
      </c>
      <c r="J41" s="2">
        <v>30299</v>
      </c>
      <c r="K41" s="2">
        <v>0</v>
      </c>
      <c r="L41" s="2">
        <v>0</v>
      </c>
      <c r="M41" s="2">
        <v>30299</v>
      </c>
      <c r="N41" s="2" t="s">
        <v>38</v>
      </c>
      <c r="O41" s="2">
        <v>2</v>
      </c>
      <c r="P41" s="2" t="s">
        <v>24</v>
      </c>
    </row>
    <row r="42" spans="1:16" x14ac:dyDescent="0.25">
      <c r="A42" s="4">
        <v>44779</v>
      </c>
      <c r="B42" s="2" t="s">
        <v>176</v>
      </c>
      <c r="C42" s="2" t="s">
        <v>177</v>
      </c>
      <c r="D42" t="s">
        <v>18</v>
      </c>
      <c r="E42" s="2" t="s">
        <v>19</v>
      </c>
      <c r="F42" s="2" t="s">
        <v>71</v>
      </c>
      <c r="G42" s="2" t="s">
        <v>114</v>
      </c>
      <c r="H42" s="2" t="s">
        <v>178</v>
      </c>
      <c r="I42" s="2">
        <v>1</v>
      </c>
      <c r="J42" s="2">
        <v>556</v>
      </c>
      <c r="K42" s="2">
        <v>0</v>
      </c>
      <c r="L42" s="2">
        <v>0</v>
      </c>
      <c r="M42" s="2">
        <v>556</v>
      </c>
      <c r="N42" s="2" t="s">
        <v>23</v>
      </c>
      <c r="O42" s="2">
        <v>2</v>
      </c>
      <c r="P42" s="2" t="s">
        <v>24</v>
      </c>
    </row>
    <row r="43" spans="1:16" x14ac:dyDescent="0.25">
      <c r="A43" s="4">
        <v>44780</v>
      </c>
      <c r="B43" s="2" t="s">
        <v>179</v>
      </c>
      <c r="C43" s="2" t="s">
        <v>180</v>
      </c>
      <c r="D43" t="s">
        <v>33</v>
      </c>
      <c r="E43" s="2" t="s">
        <v>34</v>
      </c>
      <c r="F43" s="2" t="s">
        <v>71</v>
      </c>
      <c r="G43" s="2" t="s">
        <v>76</v>
      </c>
      <c r="H43" s="2" t="s">
        <v>181</v>
      </c>
      <c r="I43" s="2">
        <v>1</v>
      </c>
      <c r="J43" s="2">
        <v>284</v>
      </c>
      <c r="K43" s="2">
        <v>10</v>
      </c>
      <c r="L43" s="2">
        <v>28.4</v>
      </c>
      <c r="M43" s="2">
        <v>255.6</v>
      </c>
      <c r="N43" s="2" t="s">
        <v>23</v>
      </c>
      <c r="O43" s="2">
        <v>2</v>
      </c>
      <c r="P43" s="2" t="s">
        <v>24</v>
      </c>
    </row>
    <row r="44" spans="1:16" x14ac:dyDescent="0.25">
      <c r="A44" s="4">
        <v>44781</v>
      </c>
      <c r="B44" s="2" t="s">
        <v>182</v>
      </c>
      <c r="C44" s="2" t="s">
        <v>26</v>
      </c>
      <c r="D44" t="s">
        <v>84</v>
      </c>
      <c r="E44" s="2" t="s">
        <v>85</v>
      </c>
      <c r="F44" s="2" t="s">
        <v>71</v>
      </c>
      <c r="G44" s="2" t="s">
        <v>106</v>
      </c>
      <c r="H44" s="2" t="s">
        <v>183</v>
      </c>
      <c r="I44" s="2">
        <v>3</v>
      </c>
      <c r="J44" s="2">
        <v>1334</v>
      </c>
      <c r="K44" s="2">
        <v>0</v>
      </c>
      <c r="L44" s="2">
        <v>0</v>
      </c>
      <c r="M44" s="2">
        <v>4002</v>
      </c>
      <c r="N44" s="2" t="s">
        <v>56</v>
      </c>
      <c r="O44" s="2">
        <v>2</v>
      </c>
      <c r="P44" s="2" t="s">
        <v>24</v>
      </c>
    </row>
    <row r="45" spans="1:16" x14ac:dyDescent="0.25">
      <c r="A45" s="4">
        <v>44782</v>
      </c>
      <c r="B45" s="2" t="s">
        <v>184</v>
      </c>
      <c r="C45" s="2" t="s">
        <v>185</v>
      </c>
      <c r="D45" t="s">
        <v>41</v>
      </c>
      <c r="E45" s="2" t="s">
        <v>19</v>
      </c>
      <c r="F45" s="2" t="s">
        <v>35</v>
      </c>
      <c r="G45" s="2" t="s">
        <v>130</v>
      </c>
      <c r="H45" s="2" t="s">
        <v>131</v>
      </c>
      <c r="I45" s="2">
        <v>1</v>
      </c>
      <c r="J45" s="2">
        <v>24785</v>
      </c>
      <c r="K45" s="2">
        <v>0</v>
      </c>
      <c r="L45" s="2">
        <v>0</v>
      </c>
      <c r="M45" s="2">
        <v>24785</v>
      </c>
      <c r="N45" s="2" t="s">
        <v>50</v>
      </c>
      <c r="O45" s="2">
        <v>2</v>
      </c>
      <c r="P45" s="2" t="s">
        <v>24</v>
      </c>
    </row>
    <row r="46" spans="1:16" x14ac:dyDescent="0.25">
      <c r="A46" s="4">
        <v>44783</v>
      </c>
      <c r="B46" s="2" t="s">
        <v>186</v>
      </c>
      <c r="C46" s="2" t="s">
        <v>187</v>
      </c>
      <c r="D46" t="s">
        <v>66</v>
      </c>
      <c r="E46" s="2" t="s">
        <v>19</v>
      </c>
      <c r="F46" s="2" t="s">
        <v>28</v>
      </c>
      <c r="G46" s="2" t="s">
        <v>188</v>
      </c>
      <c r="H46" s="2" t="s">
        <v>189</v>
      </c>
      <c r="I46" s="2">
        <v>2</v>
      </c>
      <c r="J46" s="2">
        <v>4808</v>
      </c>
      <c r="K46" s="2">
        <v>5</v>
      </c>
      <c r="L46" s="2">
        <v>480.8</v>
      </c>
      <c r="M46" s="2">
        <v>9135.2000000000007</v>
      </c>
      <c r="N46" s="2" t="s">
        <v>44</v>
      </c>
      <c r="O46" s="2">
        <v>5</v>
      </c>
      <c r="P46" s="2" t="s">
        <v>24</v>
      </c>
    </row>
    <row r="47" spans="1:16" x14ac:dyDescent="0.25">
      <c r="A47" s="4">
        <v>44784</v>
      </c>
      <c r="B47" s="2" t="s">
        <v>190</v>
      </c>
      <c r="C47" s="2" t="s">
        <v>191</v>
      </c>
      <c r="D47" t="s">
        <v>66</v>
      </c>
      <c r="E47" s="2" t="s">
        <v>19</v>
      </c>
      <c r="F47" s="2" t="s">
        <v>28</v>
      </c>
      <c r="G47" s="2" t="s">
        <v>188</v>
      </c>
      <c r="H47" s="2" t="s">
        <v>192</v>
      </c>
      <c r="I47" s="2">
        <v>1</v>
      </c>
      <c r="J47" s="2">
        <v>3155</v>
      </c>
      <c r="K47" s="2">
        <v>0</v>
      </c>
      <c r="L47" s="2">
        <v>0</v>
      </c>
      <c r="M47" s="2">
        <v>3155</v>
      </c>
      <c r="N47" s="2" t="s">
        <v>23</v>
      </c>
      <c r="O47" s="2">
        <v>3</v>
      </c>
      <c r="P47" s="2" t="s">
        <v>24</v>
      </c>
    </row>
    <row r="48" spans="1:16" x14ac:dyDescent="0.25">
      <c r="A48" s="4">
        <v>44785</v>
      </c>
      <c r="B48" s="2" t="s">
        <v>193</v>
      </c>
      <c r="C48" s="2" t="s">
        <v>194</v>
      </c>
      <c r="D48" t="s">
        <v>41</v>
      </c>
      <c r="E48" s="2" t="s">
        <v>19</v>
      </c>
      <c r="F48" s="2" t="s">
        <v>20</v>
      </c>
      <c r="G48" s="2" t="s">
        <v>42</v>
      </c>
      <c r="H48" s="2" t="s">
        <v>195</v>
      </c>
      <c r="I48" s="2">
        <v>1</v>
      </c>
      <c r="J48" s="2">
        <v>2277</v>
      </c>
      <c r="K48" s="2">
        <v>5</v>
      </c>
      <c r="L48" s="2">
        <v>113.85</v>
      </c>
      <c r="M48" s="2">
        <v>2163.15</v>
      </c>
      <c r="N48" s="2" t="s">
        <v>44</v>
      </c>
      <c r="O48" s="2">
        <v>7</v>
      </c>
      <c r="P48" s="2" t="s">
        <v>24</v>
      </c>
    </row>
    <row r="49" spans="1:16" x14ac:dyDescent="0.25">
      <c r="A49" s="4">
        <v>44786</v>
      </c>
      <c r="B49" s="2" t="s">
        <v>196</v>
      </c>
      <c r="C49" s="2" t="s">
        <v>197</v>
      </c>
      <c r="D49" t="s">
        <v>18</v>
      </c>
      <c r="E49" s="2" t="s">
        <v>19</v>
      </c>
      <c r="F49" s="2" t="s">
        <v>35</v>
      </c>
      <c r="G49" s="2" t="s">
        <v>130</v>
      </c>
      <c r="H49" s="2" t="s">
        <v>198</v>
      </c>
      <c r="I49" s="2">
        <v>1</v>
      </c>
      <c r="J49" s="2">
        <v>16445</v>
      </c>
      <c r="K49" s="2">
        <v>5</v>
      </c>
      <c r="L49" s="2">
        <v>822.25</v>
      </c>
      <c r="M49" s="2">
        <v>15622.75</v>
      </c>
      <c r="N49" s="2" t="s">
        <v>50</v>
      </c>
      <c r="O49" s="2">
        <v>2</v>
      </c>
      <c r="P49" s="2" t="s">
        <v>24</v>
      </c>
    </row>
    <row r="50" spans="1:16" x14ac:dyDescent="0.25">
      <c r="A50" s="4">
        <v>44787</v>
      </c>
      <c r="B50" s="2" t="s">
        <v>199</v>
      </c>
      <c r="C50" s="2" t="s">
        <v>94</v>
      </c>
      <c r="D50" t="s">
        <v>47</v>
      </c>
      <c r="E50" s="2" t="s">
        <v>48</v>
      </c>
      <c r="F50" s="2" t="s">
        <v>61</v>
      </c>
      <c r="G50" s="2" t="s">
        <v>200</v>
      </c>
      <c r="H50" s="2" t="s">
        <v>201</v>
      </c>
      <c r="I50" s="2">
        <v>1</v>
      </c>
      <c r="J50" s="2">
        <v>394</v>
      </c>
      <c r="K50" s="2">
        <v>20</v>
      </c>
      <c r="L50" s="2">
        <v>78.8</v>
      </c>
      <c r="M50" s="2">
        <v>315.2</v>
      </c>
      <c r="N50" s="2" t="s">
        <v>56</v>
      </c>
      <c r="O50" s="2">
        <v>2</v>
      </c>
      <c r="P50" s="2" t="s">
        <v>24</v>
      </c>
    </row>
    <row r="51" spans="1:16" x14ac:dyDescent="0.25">
      <c r="A51" s="4">
        <v>44788</v>
      </c>
      <c r="B51" s="2" t="s">
        <v>202</v>
      </c>
      <c r="C51" s="2" t="s">
        <v>161</v>
      </c>
      <c r="D51" t="s">
        <v>41</v>
      </c>
      <c r="E51" s="2" t="s">
        <v>19</v>
      </c>
      <c r="F51" s="2" t="s">
        <v>71</v>
      </c>
      <c r="G51" s="2" t="s">
        <v>86</v>
      </c>
      <c r="H51" s="2" t="s">
        <v>203</v>
      </c>
      <c r="I51" s="2">
        <v>3</v>
      </c>
      <c r="J51" s="2">
        <v>417</v>
      </c>
      <c r="K51" s="2">
        <v>5</v>
      </c>
      <c r="L51" s="2">
        <v>62.55</v>
      </c>
      <c r="M51" s="2">
        <v>1188.45</v>
      </c>
      <c r="N51" s="2" t="s">
        <v>44</v>
      </c>
      <c r="O51" s="2">
        <v>4</v>
      </c>
      <c r="P51" s="2" t="s">
        <v>92</v>
      </c>
    </row>
    <row r="52" spans="1:16" x14ac:dyDescent="0.25">
      <c r="A52" s="4">
        <v>44789</v>
      </c>
      <c r="B52" s="2" t="s">
        <v>204</v>
      </c>
      <c r="C52" s="2" t="s">
        <v>205</v>
      </c>
      <c r="D52" t="s">
        <v>84</v>
      </c>
      <c r="E52" s="2" t="s">
        <v>85</v>
      </c>
      <c r="F52" s="2" t="s">
        <v>28</v>
      </c>
      <c r="G52" s="2" t="s">
        <v>188</v>
      </c>
      <c r="H52" s="2" t="s">
        <v>206</v>
      </c>
      <c r="I52" s="2">
        <v>2</v>
      </c>
      <c r="J52" s="2">
        <v>2729</v>
      </c>
      <c r="K52" s="2">
        <v>5</v>
      </c>
      <c r="L52" s="2">
        <v>272.89999999999998</v>
      </c>
      <c r="M52" s="2">
        <v>5185.1000000000004</v>
      </c>
      <c r="N52" s="2" t="s">
        <v>38</v>
      </c>
      <c r="O52" s="2">
        <v>2</v>
      </c>
      <c r="P52" s="2" t="s">
        <v>24</v>
      </c>
    </row>
    <row r="53" spans="1:16" x14ac:dyDescent="0.25">
      <c r="A53" s="4">
        <v>44790</v>
      </c>
      <c r="B53" s="2" t="s">
        <v>207</v>
      </c>
      <c r="C53" s="2" t="s">
        <v>208</v>
      </c>
      <c r="D53" t="s">
        <v>33</v>
      </c>
      <c r="E53" s="2" t="s">
        <v>34</v>
      </c>
      <c r="F53" s="2" t="s">
        <v>61</v>
      </c>
      <c r="G53" s="2" t="s">
        <v>150</v>
      </c>
      <c r="H53" s="2" t="s">
        <v>209</v>
      </c>
      <c r="I53" s="2">
        <v>1</v>
      </c>
      <c r="J53" s="2">
        <v>1811</v>
      </c>
      <c r="K53" s="2">
        <v>15</v>
      </c>
      <c r="L53" s="2">
        <v>271.64999999999998</v>
      </c>
      <c r="M53" s="2">
        <v>1539.35</v>
      </c>
      <c r="N53" s="2" t="s">
        <v>23</v>
      </c>
      <c r="O53" s="2">
        <v>2</v>
      </c>
      <c r="P53" s="2" t="s">
        <v>24</v>
      </c>
    </row>
    <row r="54" spans="1:16" x14ac:dyDescent="0.25">
      <c r="A54" s="4">
        <v>44791</v>
      </c>
      <c r="B54" s="2" t="s">
        <v>210</v>
      </c>
      <c r="C54" s="2" t="s">
        <v>211</v>
      </c>
      <c r="D54" t="s">
        <v>41</v>
      </c>
      <c r="E54" s="2" t="s">
        <v>19</v>
      </c>
      <c r="F54" s="2" t="s">
        <v>71</v>
      </c>
      <c r="G54" s="2" t="s">
        <v>86</v>
      </c>
      <c r="H54" s="2" t="s">
        <v>145</v>
      </c>
      <c r="I54" s="2">
        <v>2</v>
      </c>
      <c r="J54" s="2">
        <v>658</v>
      </c>
      <c r="K54" s="2">
        <v>15</v>
      </c>
      <c r="L54" s="2">
        <v>197.4</v>
      </c>
      <c r="M54" s="2">
        <v>1118.5999999999999</v>
      </c>
      <c r="N54" s="2" t="s">
        <v>38</v>
      </c>
      <c r="O54" s="2">
        <v>2</v>
      </c>
      <c r="P54" s="2" t="s">
        <v>24</v>
      </c>
    </row>
    <row r="55" spans="1:16" x14ac:dyDescent="0.25">
      <c r="A55" s="4">
        <v>44792</v>
      </c>
      <c r="B55" s="2" t="s">
        <v>212</v>
      </c>
      <c r="C55" s="2" t="s">
        <v>213</v>
      </c>
      <c r="D55" t="s">
        <v>41</v>
      </c>
      <c r="E55" s="2" t="s">
        <v>19</v>
      </c>
      <c r="F55" s="2" t="s">
        <v>35</v>
      </c>
      <c r="G55" s="2" t="s">
        <v>80</v>
      </c>
      <c r="H55" s="2" t="s">
        <v>214</v>
      </c>
      <c r="I55" s="2">
        <v>1</v>
      </c>
      <c r="J55" s="2">
        <v>5820</v>
      </c>
      <c r="K55" s="2">
        <v>0</v>
      </c>
      <c r="L55" s="2">
        <v>0</v>
      </c>
      <c r="M55" s="2">
        <v>5820</v>
      </c>
      <c r="N55" s="2" t="s">
        <v>23</v>
      </c>
      <c r="O55" s="2">
        <v>2</v>
      </c>
      <c r="P55" s="2" t="s">
        <v>24</v>
      </c>
    </row>
    <row r="56" spans="1:16" x14ac:dyDescent="0.25">
      <c r="A56" s="4">
        <v>44793</v>
      </c>
      <c r="B56" s="2" t="s">
        <v>215</v>
      </c>
      <c r="C56" s="2" t="s">
        <v>177</v>
      </c>
      <c r="D56" t="s">
        <v>84</v>
      </c>
      <c r="E56" s="2" t="s">
        <v>85</v>
      </c>
      <c r="F56" s="2" t="s">
        <v>35</v>
      </c>
      <c r="G56" s="2" t="s">
        <v>80</v>
      </c>
      <c r="H56" s="2" t="s">
        <v>216</v>
      </c>
      <c r="I56" s="2">
        <v>2</v>
      </c>
      <c r="J56" s="2">
        <v>30255</v>
      </c>
      <c r="K56" s="2">
        <v>10</v>
      </c>
      <c r="L56" s="2">
        <v>6051</v>
      </c>
      <c r="M56" s="2">
        <v>54459</v>
      </c>
      <c r="N56" s="2" t="s">
        <v>56</v>
      </c>
      <c r="O56" s="2">
        <v>3</v>
      </c>
      <c r="P56" s="2" t="s">
        <v>24</v>
      </c>
    </row>
    <row r="57" spans="1:16" x14ac:dyDescent="0.25">
      <c r="A57" s="4">
        <v>44794</v>
      </c>
      <c r="B57" s="2" t="s">
        <v>217</v>
      </c>
      <c r="C57" s="2" t="s">
        <v>218</v>
      </c>
      <c r="D57" t="s">
        <v>33</v>
      </c>
      <c r="E57" s="2" t="s">
        <v>34</v>
      </c>
      <c r="F57" s="2" t="s">
        <v>71</v>
      </c>
      <c r="G57" s="2" t="s">
        <v>76</v>
      </c>
      <c r="H57" s="2" t="s">
        <v>77</v>
      </c>
      <c r="I57" s="2">
        <v>3</v>
      </c>
      <c r="J57" s="2">
        <v>679</v>
      </c>
      <c r="K57" s="2">
        <v>5</v>
      </c>
      <c r="L57" s="2">
        <v>101.85</v>
      </c>
      <c r="M57" s="2">
        <v>1935.15</v>
      </c>
      <c r="N57" s="2" t="s">
        <v>44</v>
      </c>
      <c r="O57" s="2">
        <v>5</v>
      </c>
      <c r="P57" s="2" t="s">
        <v>24</v>
      </c>
    </row>
    <row r="58" spans="1:16" x14ac:dyDescent="0.25">
      <c r="A58" s="4">
        <v>44795</v>
      </c>
      <c r="B58" s="2" t="s">
        <v>219</v>
      </c>
      <c r="C58" s="2" t="s">
        <v>220</v>
      </c>
      <c r="D58" t="s">
        <v>59</v>
      </c>
      <c r="E58" s="2" t="s">
        <v>60</v>
      </c>
      <c r="F58" s="2" t="s">
        <v>20</v>
      </c>
      <c r="G58" s="2" t="s">
        <v>42</v>
      </c>
      <c r="H58" s="2" t="s">
        <v>221</v>
      </c>
      <c r="I58" s="2">
        <v>1</v>
      </c>
      <c r="J58" s="2">
        <v>7586</v>
      </c>
      <c r="K58" s="2">
        <v>10</v>
      </c>
      <c r="L58" s="2">
        <v>758.6</v>
      </c>
      <c r="M58" s="2">
        <v>6827.4</v>
      </c>
      <c r="N58" s="2" t="s">
        <v>23</v>
      </c>
      <c r="O58" s="2">
        <v>2</v>
      </c>
      <c r="P58" s="2" t="s">
        <v>24</v>
      </c>
    </row>
    <row r="59" spans="1:16" x14ac:dyDescent="0.25">
      <c r="A59" s="4">
        <v>44796</v>
      </c>
      <c r="B59" s="2" t="s">
        <v>222</v>
      </c>
      <c r="C59" s="2" t="s">
        <v>223</v>
      </c>
      <c r="D59" t="s">
        <v>41</v>
      </c>
      <c r="E59" s="2" t="s">
        <v>19</v>
      </c>
      <c r="F59" s="2" t="s">
        <v>35</v>
      </c>
      <c r="G59" s="2" t="s">
        <v>130</v>
      </c>
      <c r="H59" s="2" t="s">
        <v>131</v>
      </c>
      <c r="I59" s="2">
        <v>1</v>
      </c>
      <c r="J59" s="2">
        <v>11981</v>
      </c>
      <c r="K59" s="2">
        <v>15</v>
      </c>
      <c r="L59" s="2">
        <v>1797.15</v>
      </c>
      <c r="M59" s="2">
        <v>10183.85</v>
      </c>
      <c r="N59" s="2" t="s">
        <v>23</v>
      </c>
      <c r="O59" s="2">
        <v>3</v>
      </c>
      <c r="P59" s="2" t="s">
        <v>24</v>
      </c>
    </row>
    <row r="60" spans="1:16" x14ac:dyDescent="0.25">
      <c r="A60" s="4">
        <v>44797</v>
      </c>
      <c r="B60" s="2" t="s">
        <v>224</v>
      </c>
      <c r="C60" s="2" t="s">
        <v>225</v>
      </c>
      <c r="D60" t="s">
        <v>33</v>
      </c>
      <c r="E60" s="2" t="s">
        <v>34</v>
      </c>
      <c r="F60" s="2" t="s">
        <v>61</v>
      </c>
      <c r="G60" s="2" t="s">
        <v>200</v>
      </c>
      <c r="H60" s="2" t="s">
        <v>226</v>
      </c>
      <c r="I60" s="2">
        <v>1</v>
      </c>
      <c r="J60" s="2">
        <v>993</v>
      </c>
      <c r="K60" s="2">
        <v>5</v>
      </c>
      <c r="L60" s="2">
        <v>49.65</v>
      </c>
      <c r="M60" s="2">
        <v>943.35</v>
      </c>
      <c r="N60" s="2" t="s">
        <v>56</v>
      </c>
      <c r="O60" s="2">
        <v>2</v>
      </c>
      <c r="P60" s="2" t="s">
        <v>24</v>
      </c>
    </row>
    <row r="61" spans="1:16" x14ac:dyDescent="0.25">
      <c r="A61" s="4">
        <v>44798</v>
      </c>
      <c r="B61" s="2" t="s">
        <v>227</v>
      </c>
      <c r="C61" s="2" t="s">
        <v>228</v>
      </c>
      <c r="D61" t="s">
        <v>66</v>
      </c>
      <c r="E61" s="2" t="s">
        <v>19</v>
      </c>
      <c r="F61" s="2" t="s">
        <v>35</v>
      </c>
      <c r="G61" s="2" t="s">
        <v>130</v>
      </c>
      <c r="H61" s="2" t="s">
        <v>167</v>
      </c>
      <c r="I61" s="2">
        <v>1</v>
      </c>
      <c r="J61" s="2">
        <v>26988</v>
      </c>
      <c r="K61" s="2">
        <v>15</v>
      </c>
      <c r="L61" s="2">
        <v>4048.2</v>
      </c>
      <c r="M61" s="2">
        <v>22939.8</v>
      </c>
      <c r="N61" s="2" t="s">
        <v>50</v>
      </c>
      <c r="O61" s="2">
        <v>1</v>
      </c>
      <c r="P61" s="2" t="s">
        <v>24</v>
      </c>
    </row>
    <row r="62" spans="1:16" x14ac:dyDescent="0.25">
      <c r="A62" s="4">
        <v>44799</v>
      </c>
      <c r="B62" s="2" t="s">
        <v>229</v>
      </c>
      <c r="C62" s="2" t="s">
        <v>187</v>
      </c>
      <c r="D62" t="s">
        <v>41</v>
      </c>
      <c r="E62" s="2" t="s">
        <v>19</v>
      </c>
      <c r="F62" s="2" t="s">
        <v>61</v>
      </c>
      <c r="G62" s="2" t="s">
        <v>150</v>
      </c>
      <c r="H62" s="2" t="s">
        <v>209</v>
      </c>
      <c r="I62" s="2">
        <v>1</v>
      </c>
      <c r="J62" s="2">
        <v>739</v>
      </c>
      <c r="K62" s="2">
        <v>15</v>
      </c>
      <c r="L62" s="2">
        <v>110.85</v>
      </c>
      <c r="M62" s="2">
        <v>628.15</v>
      </c>
      <c r="N62" s="2" t="s">
        <v>50</v>
      </c>
      <c r="O62" s="2">
        <v>1</v>
      </c>
      <c r="P62" s="2" t="s">
        <v>24</v>
      </c>
    </row>
    <row r="63" spans="1:16" x14ac:dyDescent="0.25">
      <c r="A63" s="4">
        <v>44800</v>
      </c>
      <c r="B63" s="2" t="s">
        <v>230</v>
      </c>
      <c r="C63" s="2" t="s">
        <v>231</v>
      </c>
      <c r="D63" t="s">
        <v>174</v>
      </c>
      <c r="E63" s="2" t="s">
        <v>60</v>
      </c>
      <c r="F63" s="2" t="s">
        <v>20</v>
      </c>
      <c r="G63" s="2" t="s">
        <v>42</v>
      </c>
      <c r="H63" s="2" t="s">
        <v>195</v>
      </c>
      <c r="I63" s="2">
        <v>1</v>
      </c>
      <c r="J63" s="2">
        <v>7192</v>
      </c>
      <c r="K63" s="2">
        <v>15</v>
      </c>
      <c r="L63" s="2">
        <v>1078.8</v>
      </c>
      <c r="M63" s="2">
        <v>6113.2</v>
      </c>
      <c r="N63" s="2" t="s">
        <v>56</v>
      </c>
      <c r="O63" s="2">
        <v>2</v>
      </c>
      <c r="P63" s="2" t="s">
        <v>24</v>
      </c>
    </row>
    <row r="64" spans="1:16" x14ac:dyDescent="0.25">
      <c r="A64" s="4">
        <v>44801</v>
      </c>
      <c r="B64" s="2" t="s">
        <v>232</v>
      </c>
      <c r="C64" s="2" t="s">
        <v>233</v>
      </c>
      <c r="D64" t="s">
        <v>59</v>
      </c>
      <c r="E64" s="2" t="s">
        <v>60</v>
      </c>
      <c r="F64" s="2" t="s">
        <v>61</v>
      </c>
      <c r="G64" s="2" t="s">
        <v>150</v>
      </c>
      <c r="H64" s="2" t="s">
        <v>151</v>
      </c>
      <c r="I64" s="2">
        <v>1</v>
      </c>
      <c r="J64" s="2">
        <v>1377</v>
      </c>
      <c r="K64" s="2">
        <v>10</v>
      </c>
      <c r="L64" s="2">
        <v>137.69999999999999</v>
      </c>
      <c r="M64" s="2">
        <v>1239.3</v>
      </c>
      <c r="N64" s="2" t="s">
        <v>23</v>
      </c>
      <c r="O64" s="2">
        <v>1</v>
      </c>
      <c r="P64" s="2" t="s">
        <v>24</v>
      </c>
    </row>
    <row r="65" spans="1:16" x14ac:dyDescent="0.25">
      <c r="A65" s="4">
        <v>44802</v>
      </c>
      <c r="B65" s="2" t="s">
        <v>234</v>
      </c>
      <c r="C65" s="2" t="s">
        <v>235</v>
      </c>
      <c r="D65" t="s">
        <v>27</v>
      </c>
      <c r="E65" s="2" t="s">
        <v>19</v>
      </c>
      <c r="F65" s="2" t="s">
        <v>20</v>
      </c>
      <c r="G65" s="2" t="s">
        <v>54</v>
      </c>
      <c r="H65" s="2" t="s">
        <v>236</v>
      </c>
      <c r="I65" s="2">
        <v>2</v>
      </c>
      <c r="J65" s="2">
        <v>7388</v>
      </c>
      <c r="K65" s="2">
        <v>5</v>
      </c>
      <c r="L65" s="2">
        <v>738.8</v>
      </c>
      <c r="M65" s="2">
        <v>14037.2</v>
      </c>
      <c r="N65" s="2" t="s">
        <v>23</v>
      </c>
      <c r="O65" s="2">
        <v>3</v>
      </c>
      <c r="P65" s="2" t="s">
        <v>24</v>
      </c>
    </row>
    <row r="66" spans="1:16" x14ac:dyDescent="0.25">
      <c r="A66" s="4">
        <v>44803</v>
      </c>
      <c r="B66" s="2" t="s">
        <v>237</v>
      </c>
      <c r="C66" s="2" t="s">
        <v>238</v>
      </c>
      <c r="D66" t="s">
        <v>66</v>
      </c>
      <c r="E66" s="2" t="s">
        <v>19</v>
      </c>
      <c r="F66" s="2" t="s">
        <v>20</v>
      </c>
      <c r="G66" s="2" t="s">
        <v>21</v>
      </c>
      <c r="H66" s="2" t="s">
        <v>22</v>
      </c>
      <c r="I66" s="2">
        <v>1</v>
      </c>
      <c r="J66" s="2">
        <v>657</v>
      </c>
      <c r="K66" s="2">
        <v>10</v>
      </c>
      <c r="L66" s="2">
        <v>65.7</v>
      </c>
      <c r="M66" s="2">
        <v>591.29999999999995</v>
      </c>
      <c r="N66" s="2" t="s">
        <v>44</v>
      </c>
      <c r="O66" s="2">
        <v>5</v>
      </c>
      <c r="P66" s="2" t="s">
        <v>24</v>
      </c>
    </row>
    <row r="67" spans="1:16" x14ac:dyDescent="0.25">
      <c r="A67" s="4">
        <v>44804</v>
      </c>
      <c r="B67" s="2" t="s">
        <v>239</v>
      </c>
      <c r="C67" s="2" t="s">
        <v>240</v>
      </c>
      <c r="D67" t="s">
        <v>66</v>
      </c>
      <c r="E67" s="2" t="s">
        <v>19</v>
      </c>
      <c r="F67" s="2" t="s">
        <v>35</v>
      </c>
      <c r="G67" s="2" t="s">
        <v>80</v>
      </c>
      <c r="H67" s="2" t="s">
        <v>81</v>
      </c>
      <c r="I67" s="2">
        <v>3</v>
      </c>
      <c r="J67" s="2">
        <v>22257</v>
      </c>
      <c r="K67" s="2">
        <v>0</v>
      </c>
      <c r="L67" s="2">
        <v>0</v>
      </c>
      <c r="M67" s="2">
        <v>66771</v>
      </c>
      <c r="N67" s="2" t="s">
        <v>44</v>
      </c>
      <c r="O67" s="2">
        <v>3</v>
      </c>
      <c r="P67" s="2" t="s">
        <v>92</v>
      </c>
    </row>
    <row r="68" spans="1:16" x14ac:dyDescent="0.25">
      <c r="A68" s="4">
        <v>44805</v>
      </c>
      <c r="B68" s="2" t="s">
        <v>241</v>
      </c>
      <c r="C68" s="2" t="s">
        <v>242</v>
      </c>
      <c r="D68" t="s">
        <v>33</v>
      </c>
      <c r="E68" s="2" t="s">
        <v>34</v>
      </c>
      <c r="F68" s="2" t="s">
        <v>61</v>
      </c>
      <c r="G68" s="2" t="s">
        <v>200</v>
      </c>
      <c r="H68" s="2" t="s">
        <v>201</v>
      </c>
      <c r="I68" s="2">
        <v>1</v>
      </c>
      <c r="J68" s="2">
        <v>822</v>
      </c>
      <c r="K68" s="2">
        <v>15</v>
      </c>
      <c r="L68" s="2">
        <v>123.3</v>
      </c>
      <c r="M68" s="2">
        <v>698.7</v>
      </c>
      <c r="N68" s="2" t="s">
        <v>50</v>
      </c>
      <c r="O68" s="2">
        <v>2</v>
      </c>
      <c r="P68" s="2" t="s">
        <v>24</v>
      </c>
    </row>
    <row r="69" spans="1:16" x14ac:dyDescent="0.25">
      <c r="A69" s="4">
        <v>44806</v>
      </c>
      <c r="B69" s="2" t="s">
        <v>243</v>
      </c>
      <c r="C69" s="2" t="s">
        <v>244</v>
      </c>
      <c r="D69" t="s">
        <v>18</v>
      </c>
      <c r="E69" s="2" t="s">
        <v>19</v>
      </c>
      <c r="F69" s="2" t="s">
        <v>71</v>
      </c>
      <c r="G69" s="2" t="s">
        <v>114</v>
      </c>
      <c r="H69" s="2" t="s">
        <v>245</v>
      </c>
      <c r="I69" s="2">
        <v>1</v>
      </c>
      <c r="J69" s="2">
        <v>938</v>
      </c>
      <c r="K69" s="2">
        <v>20</v>
      </c>
      <c r="L69" s="2">
        <v>187.6</v>
      </c>
      <c r="M69" s="2">
        <v>750.4</v>
      </c>
      <c r="N69" s="2" t="s">
        <v>44</v>
      </c>
      <c r="O69" s="2">
        <v>4</v>
      </c>
      <c r="P69" s="2" t="s">
        <v>24</v>
      </c>
    </row>
    <row r="70" spans="1:16" x14ac:dyDescent="0.25">
      <c r="A70" s="4">
        <v>44807</v>
      </c>
      <c r="B70" s="2" t="s">
        <v>246</v>
      </c>
      <c r="C70" s="2" t="s">
        <v>117</v>
      </c>
      <c r="D70" t="s">
        <v>18</v>
      </c>
      <c r="E70" s="2" t="s">
        <v>19</v>
      </c>
      <c r="F70" s="2" t="s">
        <v>35</v>
      </c>
      <c r="G70" s="2" t="s">
        <v>130</v>
      </c>
      <c r="H70" s="2" t="s">
        <v>247</v>
      </c>
      <c r="I70" s="2">
        <v>1</v>
      </c>
      <c r="J70" s="2">
        <v>25065</v>
      </c>
      <c r="K70" s="2">
        <v>5</v>
      </c>
      <c r="L70" s="2">
        <v>1253.25</v>
      </c>
      <c r="M70" s="2">
        <v>23811.75</v>
      </c>
      <c r="N70" s="2" t="s">
        <v>56</v>
      </c>
      <c r="O70" s="2">
        <v>2</v>
      </c>
      <c r="P70" s="2" t="s">
        <v>24</v>
      </c>
    </row>
    <row r="71" spans="1:16" x14ac:dyDescent="0.25">
      <c r="A71" s="4">
        <v>44808</v>
      </c>
      <c r="B71" s="2" t="s">
        <v>248</v>
      </c>
      <c r="C71" s="2" t="s">
        <v>249</v>
      </c>
      <c r="D71" t="s">
        <v>41</v>
      </c>
      <c r="E71" s="2" t="s">
        <v>19</v>
      </c>
      <c r="F71" s="2" t="s">
        <v>61</v>
      </c>
      <c r="G71" s="2" t="s">
        <v>250</v>
      </c>
      <c r="H71" s="2" t="s">
        <v>251</v>
      </c>
      <c r="I71" s="2">
        <v>1</v>
      </c>
      <c r="J71" s="2">
        <v>1094</v>
      </c>
      <c r="K71" s="2">
        <v>0</v>
      </c>
      <c r="L71" s="2">
        <v>0</v>
      </c>
      <c r="M71" s="2">
        <v>1094</v>
      </c>
      <c r="N71" s="2" t="s">
        <v>23</v>
      </c>
      <c r="O71" s="2">
        <v>1</v>
      </c>
      <c r="P71" s="2" t="s">
        <v>24</v>
      </c>
    </row>
    <row r="72" spans="1:16" x14ac:dyDescent="0.25">
      <c r="A72" s="4">
        <v>44809</v>
      </c>
      <c r="B72" s="2" t="s">
        <v>252</v>
      </c>
      <c r="C72" s="2" t="s">
        <v>1478</v>
      </c>
      <c r="D72" t="s">
        <v>27</v>
      </c>
      <c r="E72" s="2" t="s">
        <v>19</v>
      </c>
      <c r="F72" s="2" t="s">
        <v>28</v>
      </c>
      <c r="G72" s="2" t="s">
        <v>110</v>
      </c>
      <c r="H72" s="2" t="s">
        <v>253</v>
      </c>
      <c r="I72" s="2">
        <v>3</v>
      </c>
      <c r="J72" s="2">
        <v>2850</v>
      </c>
      <c r="K72" s="2">
        <v>0</v>
      </c>
      <c r="L72" s="2">
        <v>0</v>
      </c>
      <c r="M72" s="2">
        <v>8550</v>
      </c>
      <c r="N72" s="2" t="s">
        <v>44</v>
      </c>
      <c r="O72" s="2">
        <v>4</v>
      </c>
      <c r="P72" s="2" t="s">
        <v>24</v>
      </c>
    </row>
    <row r="73" spans="1:16" x14ac:dyDescent="0.25">
      <c r="A73" s="4">
        <v>44810</v>
      </c>
      <c r="B73" s="2" t="s">
        <v>254</v>
      </c>
      <c r="C73" s="2" t="s">
        <v>255</v>
      </c>
      <c r="D73" t="s">
        <v>53</v>
      </c>
      <c r="E73" s="2" t="s">
        <v>53</v>
      </c>
      <c r="F73" s="2" t="s">
        <v>61</v>
      </c>
      <c r="G73" s="2" t="s">
        <v>250</v>
      </c>
      <c r="H73" s="2" t="s">
        <v>256</v>
      </c>
      <c r="I73" s="2">
        <v>1</v>
      </c>
      <c r="J73" s="2">
        <v>1498</v>
      </c>
      <c r="K73" s="2">
        <v>0</v>
      </c>
      <c r="L73" s="2">
        <v>0</v>
      </c>
      <c r="M73" s="2">
        <v>1498</v>
      </c>
      <c r="N73" s="2" t="s">
        <v>56</v>
      </c>
      <c r="O73" s="2">
        <v>3</v>
      </c>
      <c r="P73" s="2" t="s">
        <v>24</v>
      </c>
    </row>
    <row r="74" spans="1:16" x14ac:dyDescent="0.25">
      <c r="A74" s="4">
        <v>44811</v>
      </c>
      <c r="B74" s="2" t="s">
        <v>257</v>
      </c>
      <c r="C74" s="2" t="s">
        <v>258</v>
      </c>
      <c r="D74" t="s">
        <v>84</v>
      </c>
      <c r="E74" s="2" t="s">
        <v>85</v>
      </c>
      <c r="F74" s="2" t="s">
        <v>28</v>
      </c>
      <c r="G74" s="2" t="s">
        <v>29</v>
      </c>
      <c r="H74" s="2" t="s">
        <v>259</v>
      </c>
      <c r="I74" s="2">
        <v>1</v>
      </c>
      <c r="J74" s="2">
        <v>2453</v>
      </c>
      <c r="K74" s="2">
        <v>10</v>
      </c>
      <c r="L74" s="2">
        <v>245.3</v>
      </c>
      <c r="M74" s="2">
        <v>2207.6999999999998</v>
      </c>
      <c r="N74" s="2" t="s">
        <v>23</v>
      </c>
      <c r="O74" s="2">
        <v>1</v>
      </c>
      <c r="P74" s="2" t="s">
        <v>24</v>
      </c>
    </row>
    <row r="75" spans="1:16" x14ac:dyDescent="0.25">
      <c r="A75" s="4">
        <v>44812</v>
      </c>
      <c r="B75" s="2" t="s">
        <v>260</v>
      </c>
      <c r="C75" s="2" t="s">
        <v>261</v>
      </c>
      <c r="D75" t="s">
        <v>84</v>
      </c>
      <c r="E75" s="2" t="s">
        <v>85</v>
      </c>
      <c r="F75" s="2" t="s">
        <v>61</v>
      </c>
      <c r="G75" s="2" t="s">
        <v>262</v>
      </c>
      <c r="H75" s="2" t="s">
        <v>263</v>
      </c>
      <c r="I75" s="2">
        <v>1</v>
      </c>
      <c r="J75" s="2">
        <v>754</v>
      </c>
      <c r="K75" s="2">
        <v>10</v>
      </c>
      <c r="L75" s="2">
        <v>75.400000000000006</v>
      </c>
      <c r="M75" s="2">
        <v>678.6</v>
      </c>
      <c r="N75" s="2" t="s">
        <v>23</v>
      </c>
      <c r="O75" s="2">
        <v>1</v>
      </c>
      <c r="P75" s="2" t="s">
        <v>24</v>
      </c>
    </row>
    <row r="76" spans="1:16" x14ac:dyDescent="0.25">
      <c r="A76" s="4">
        <v>44813</v>
      </c>
      <c r="B76" s="2" t="s">
        <v>264</v>
      </c>
      <c r="C76" s="2" t="s">
        <v>265</v>
      </c>
      <c r="D76" t="s">
        <v>27</v>
      </c>
      <c r="E76" s="2" t="s">
        <v>19</v>
      </c>
      <c r="F76" s="2" t="s">
        <v>71</v>
      </c>
      <c r="G76" s="2" t="s">
        <v>72</v>
      </c>
      <c r="H76" s="2" t="s">
        <v>266</v>
      </c>
      <c r="I76" s="2">
        <v>1</v>
      </c>
      <c r="J76" s="2">
        <v>743</v>
      </c>
      <c r="K76" s="2">
        <v>15</v>
      </c>
      <c r="L76" s="2">
        <v>111.45</v>
      </c>
      <c r="M76" s="2">
        <v>631.54999999999995</v>
      </c>
      <c r="N76" s="2" t="s">
        <v>50</v>
      </c>
      <c r="O76" s="2">
        <v>1</v>
      </c>
      <c r="P76" s="2" t="s">
        <v>24</v>
      </c>
    </row>
    <row r="77" spans="1:16" x14ac:dyDescent="0.25">
      <c r="A77" s="4">
        <v>44814</v>
      </c>
      <c r="B77" s="2" t="s">
        <v>267</v>
      </c>
      <c r="C77" s="2" t="s">
        <v>268</v>
      </c>
      <c r="D77" t="s">
        <v>27</v>
      </c>
      <c r="E77" s="2" t="s">
        <v>19</v>
      </c>
      <c r="F77" s="2" t="s">
        <v>20</v>
      </c>
      <c r="G77" s="2" t="s">
        <v>54</v>
      </c>
      <c r="H77" s="2" t="s">
        <v>269</v>
      </c>
      <c r="I77" s="2">
        <v>1</v>
      </c>
      <c r="J77" s="2">
        <v>4025</v>
      </c>
      <c r="K77" s="2">
        <v>10</v>
      </c>
      <c r="L77" s="2">
        <v>402.5</v>
      </c>
      <c r="M77" s="2">
        <v>3622.5</v>
      </c>
      <c r="N77" s="2" t="s">
        <v>23</v>
      </c>
      <c r="O77" s="2">
        <v>2</v>
      </c>
      <c r="P77" s="2" t="s">
        <v>24</v>
      </c>
    </row>
    <row r="78" spans="1:16" x14ac:dyDescent="0.25">
      <c r="A78" s="4">
        <v>44815</v>
      </c>
      <c r="B78" s="2" t="s">
        <v>270</v>
      </c>
      <c r="C78" s="2" t="s">
        <v>271</v>
      </c>
      <c r="D78" t="s">
        <v>33</v>
      </c>
      <c r="E78" s="2" t="s">
        <v>34</v>
      </c>
      <c r="F78" s="2" t="s">
        <v>28</v>
      </c>
      <c r="G78" s="2" t="s">
        <v>188</v>
      </c>
      <c r="H78" s="2" t="s">
        <v>206</v>
      </c>
      <c r="I78" s="2">
        <v>1</v>
      </c>
      <c r="J78" s="2">
        <v>3087</v>
      </c>
      <c r="K78" s="2">
        <v>10</v>
      </c>
      <c r="L78" s="2">
        <v>308.7</v>
      </c>
      <c r="M78" s="2">
        <v>2778.3</v>
      </c>
      <c r="N78" s="2" t="s">
        <v>56</v>
      </c>
      <c r="O78" s="2">
        <v>2</v>
      </c>
      <c r="P78" s="2" t="s">
        <v>24</v>
      </c>
    </row>
    <row r="79" spans="1:16" x14ac:dyDescent="0.25">
      <c r="A79" s="4">
        <v>44816</v>
      </c>
      <c r="B79" s="2" t="s">
        <v>272</v>
      </c>
      <c r="C79" s="2" t="s">
        <v>273</v>
      </c>
      <c r="D79" t="s">
        <v>59</v>
      </c>
      <c r="E79" s="2" t="s">
        <v>60</v>
      </c>
      <c r="F79" s="2" t="s">
        <v>35</v>
      </c>
      <c r="G79" s="2" t="s">
        <v>80</v>
      </c>
      <c r="H79" s="2" t="s">
        <v>274</v>
      </c>
      <c r="I79" s="2">
        <v>3</v>
      </c>
      <c r="J79" s="2">
        <v>20446</v>
      </c>
      <c r="K79" s="2">
        <v>15</v>
      </c>
      <c r="L79" s="2">
        <v>9200.7000000000007</v>
      </c>
      <c r="M79" s="2">
        <v>52137.3</v>
      </c>
      <c r="N79" s="2" t="s">
        <v>23</v>
      </c>
      <c r="O79" s="2">
        <v>2</v>
      </c>
      <c r="P79" s="2" t="s">
        <v>24</v>
      </c>
    </row>
    <row r="80" spans="1:16" x14ac:dyDescent="0.25">
      <c r="A80" s="4">
        <v>44817</v>
      </c>
      <c r="B80" s="2" t="s">
        <v>275</v>
      </c>
      <c r="C80" s="2" t="s">
        <v>276</v>
      </c>
      <c r="D80" t="s">
        <v>59</v>
      </c>
      <c r="E80" s="2" t="s">
        <v>60</v>
      </c>
      <c r="F80" s="2" t="s">
        <v>71</v>
      </c>
      <c r="G80" s="2" t="s">
        <v>76</v>
      </c>
      <c r="H80" s="2" t="s">
        <v>181</v>
      </c>
      <c r="I80" s="2">
        <v>1</v>
      </c>
      <c r="J80" s="2">
        <v>117</v>
      </c>
      <c r="K80" s="2">
        <v>10</v>
      </c>
      <c r="L80" s="2">
        <v>11.7</v>
      </c>
      <c r="M80" s="2">
        <v>105.3</v>
      </c>
      <c r="N80" s="2" t="s">
        <v>23</v>
      </c>
      <c r="O80" s="2">
        <v>2</v>
      </c>
      <c r="P80" s="2" t="s">
        <v>24</v>
      </c>
    </row>
    <row r="81" spans="1:16" x14ac:dyDescent="0.25">
      <c r="A81" s="4">
        <v>44818</v>
      </c>
      <c r="B81" s="2" t="s">
        <v>277</v>
      </c>
      <c r="C81" s="2" t="s">
        <v>187</v>
      </c>
      <c r="D81" t="s">
        <v>33</v>
      </c>
      <c r="E81" s="2" t="s">
        <v>34</v>
      </c>
      <c r="F81" s="2" t="s">
        <v>20</v>
      </c>
      <c r="G81" s="2" t="s">
        <v>42</v>
      </c>
      <c r="H81" s="2" t="s">
        <v>278</v>
      </c>
      <c r="I81" s="2">
        <v>1</v>
      </c>
      <c r="J81" s="2">
        <v>1300</v>
      </c>
      <c r="K81" s="2">
        <v>0</v>
      </c>
      <c r="L81" s="2">
        <v>0</v>
      </c>
      <c r="M81" s="2">
        <v>1300</v>
      </c>
      <c r="N81" s="2" t="s">
        <v>23</v>
      </c>
      <c r="O81" s="2">
        <v>3</v>
      </c>
      <c r="P81" s="2" t="s">
        <v>24</v>
      </c>
    </row>
    <row r="82" spans="1:16" x14ac:dyDescent="0.25">
      <c r="A82" s="4">
        <v>44819</v>
      </c>
      <c r="B82" s="2" t="s">
        <v>279</v>
      </c>
      <c r="C82" s="2" t="s">
        <v>280</v>
      </c>
      <c r="D82" t="s">
        <v>47</v>
      </c>
      <c r="E82" s="2" t="s">
        <v>48</v>
      </c>
      <c r="F82" s="2" t="s">
        <v>28</v>
      </c>
      <c r="G82" s="2" t="s">
        <v>90</v>
      </c>
      <c r="H82" s="2" t="s">
        <v>281</v>
      </c>
      <c r="I82" s="2">
        <v>1</v>
      </c>
      <c r="J82" s="2">
        <v>2097</v>
      </c>
      <c r="K82" s="2">
        <v>5</v>
      </c>
      <c r="L82" s="2">
        <v>104.85</v>
      </c>
      <c r="M82" s="2">
        <v>1992.15</v>
      </c>
      <c r="N82" s="2" t="s">
        <v>23</v>
      </c>
      <c r="O82" s="2">
        <v>4</v>
      </c>
      <c r="P82" s="2" t="s">
        <v>24</v>
      </c>
    </row>
    <row r="83" spans="1:16" x14ac:dyDescent="0.25">
      <c r="A83" s="4">
        <v>44820</v>
      </c>
      <c r="B83" s="2" t="s">
        <v>282</v>
      </c>
      <c r="C83" s="2" t="s">
        <v>161</v>
      </c>
      <c r="D83" t="s">
        <v>174</v>
      </c>
      <c r="E83" s="2" t="s">
        <v>60</v>
      </c>
      <c r="F83" s="2" t="s">
        <v>28</v>
      </c>
      <c r="G83" s="2" t="s">
        <v>29</v>
      </c>
      <c r="H83" s="2" t="s">
        <v>259</v>
      </c>
      <c r="I83" s="2">
        <v>2</v>
      </c>
      <c r="J83" s="2">
        <v>611</v>
      </c>
      <c r="K83" s="2">
        <v>10</v>
      </c>
      <c r="L83" s="2">
        <v>122.2</v>
      </c>
      <c r="M83" s="2">
        <v>1099.8</v>
      </c>
      <c r="N83" s="2" t="s">
        <v>23</v>
      </c>
      <c r="O83" s="2">
        <v>2</v>
      </c>
      <c r="P83" s="2" t="s">
        <v>24</v>
      </c>
    </row>
    <row r="84" spans="1:16" x14ac:dyDescent="0.25">
      <c r="A84" s="4">
        <v>44821</v>
      </c>
      <c r="B84" s="2" t="s">
        <v>283</v>
      </c>
      <c r="C84" s="2" t="s">
        <v>123</v>
      </c>
      <c r="D84" t="s">
        <v>18</v>
      </c>
      <c r="E84" s="2" t="s">
        <v>19</v>
      </c>
      <c r="F84" s="2" t="s">
        <v>28</v>
      </c>
      <c r="G84" s="2" t="s">
        <v>188</v>
      </c>
      <c r="H84" s="2" t="s">
        <v>192</v>
      </c>
      <c r="I84" s="2">
        <v>1</v>
      </c>
      <c r="J84" s="2">
        <v>4301</v>
      </c>
      <c r="K84" s="2">
        <v>5</v>
      </c>
      <c r="L84" s="2">
        <v>215.05</v>
      </c>
      <c r="M84" s="2">
        <v>4085.95</v>
      </c>
      <c r="N84" s="2" t="s">
        <v>23</v>
      </c>
      <c r="O84" s="2">
        <v>3</v>
      </c>
      <c r="P84" s="2" t="s">
        <v>24</v>
      </c>
    </row>
    <row r="85" spans="1:16" x14ac:dyDescent="0.25">
      <c r="A85" s="4">
        <v>44822</v>
      </c>
      <c r="B85" s="2" t="s">
        <v>284</v>
      </c>
      <c r="C85" s="2" t="s">
        <v>285</v>
      </c>
      <c r="D85" t="s">
        <v>27</v>
      </c>
      <c r="E85" s="2" t="s">
        <v>19</v>
      </c>
      <c r="F85" s="2" t="s">
        <v>20</v>
      </c>
      <c r="G85" s="2" t="s">
        <v>170</v>
      </c>
      <c r="H85" s="2" t="s">
        <v>286</v>
      </c>
      <c r="I85" s="2">
        <v>1</v>
      </c>
      <c r="J85" s="2">
        <v>3792</v>
      </c>
      <c r="K85" s="2">
        <v>5</v>
      </c>
      <c r="L85" s="2">
        <v>189.6</v>
      </c>
      <c r="M85" s="2">
        <v>3602.4</v>
      </c>
      <c r="N85" s="2" t="s">
        <v>44</v>
      </c>
      <c r="O85" s="2">
        <v>3</v>
      </c>
      <c r="P85" s="2" t="s">
        <v>92</v>
      </c>
    </row>
    <row r="86" spans="1:16" x14ac:dyDescent="0.25">
      <c r="A86" s="4">
        <v>44823</v>
      </c>
      <c r="B86" s="2" t="s">
        <v>287</v>
      </c>
      <c r="C86" s="2" t="s">
        <v>288</v>
      </c>
      <c r="D86" t="s">
        <v>33</v>
      </c>
      <c r="E86" s="2" t="s">
        <v>34</v>
      </c>
      <c r="F86" s="2" t="s">
        <v>28</v>
      </c>
      <c r="G86" s="2" t="s">
        <v>289</v>
      </c>
      <c r="H86" s="2" t="s">
        <v>290</v>
      </c>
      <c r="I86" s="2">
        <v>1</v>
      </c>
      <c r="J86" s="2">
        <v>3063</v>
      </c>
      <c r="K86" s="2">
        <v>0</v>
      </c>
      <c r="L86" s="2">
        <v>0</v>
      </c>
      <c r="M86" s="2">
        <v>3063</v>
      </c>
      <c r="N86" s="2" t="s">
        <v>50</v>
      </c>
      <c r="O86" s="2">
        <v>2</v>
      </c>
      <c r="P86" s="2" t="s">
        <v>24</v>
      </c>
    </row>
    <row r="87" spans="1:16" x14ac:dyDescent="0.25">
      <c r="A87" s="4">
        <v>44824</v>
      </c>
      <c r="B87" s="2" t="s">
        <v>291</v>
      </c>
      <c r="C87" s="2" t="s">
        <v>208</v>
      </c>
      <c r="D87" t="s">
        <v>27</v>
      </c>
      <c r="E87" s="2" t="s">
        <v>19</v>
      </c>
      <c r="F87" s="2" t="s">
        <v>28</v>
      </c>
      <c r="G87" s="2" t="s">
        <v>188</v>
      </c>
      <c r="H87" s="2" t="s">
        <v>292</v>
      </c>
      <c r="I87" s="2">
        <v>2</v>
      </c>
      <c r="J87" s="2">
        <v>3176</v>
      </c>
      <c r="K87" s="2">
        <v>5</v>
      </c>
      <c r="L87" s="2">
        <v>317.60000000000002</v>
      </c>
      <c r="M87" s="2">
        <v>6034.4</v>
      </c>
      <c r="N87" s="2" t="s">
        <v>23</v>
      </c>
      <c r="O87" s="2">
        <v>2</v>
      </c>
      <c r="P87" s="2" t="s">
        <v>24</v>
      </c>
    </row>
    <row r="88" spans="1:16" x14ac:dyDescent="0.25">
      <c r="A88" s="4">
        <v>44825</v>
      </c>
      <c r="B88" s="2" t="s">
        <v>293</v>
      </c>
      <c r="C88" s="2" t="s">
        <v>294</v>
      </c>
      <c r="D88" t="s">
        <v>47</v>
      </c>
      <c r="E88" s="2" t="s">
        <v>48</v>
      </c>
      <c r="F88" s="2" t="s">
        <v>28</v>
      </c>
      <c r="G88" s="2" t="s">
        <v>188</v>
      </c>
      <c r="H88" s="2" t="s">
        <v>206</v>
      </c>
      <c r="I88" s="2">
        <v>1</v>
      </c>
      <c r="J88" s="2">
        <v>1163</v>
      </c>
      <c r="K88" s="2">
        <v>15</v>
      </c>
      <c r="L88" s="2">
        <v>174.45</v>
      </c>
      <c r="M88" s="2">
        <v>988.55</v>
      </c>
      <c r="N88" s="2" t="s">
        <v>56</v>
      </c>
      <c r="O88" s="2">
        <v>3</v>
      </c>
      <c r="P88" s="2" t="s">
        <v>24</v>
      </c>
    </row>
    <row r="89" spans="1:16" x14ac:dyDescent="0.25">
      <c r="A89" s="4">
        <v>44826</v>
      </c>
      <c r="B89" s="2" t="s">
        <v>295</v>
      </c>
      <c r="C89" s="2" t="s">
        <v>1478</v>
      </c>
      <c r="D89" t="s">
        <v>47</v>
      </c>
      <c r="E89" s="2" t="s">
        <v>48</v>
      </c>
      <c r="F89" s="2" t="s">
        <v>35</v>
      </c>
      <c r="G89" s="2" t="s">
        <v>36</v>
      </c>
      <c r="H89" s="2" t="s">
        <v>98</v>
      </c>
      <c r="I89" s="2">
        <v>2</v>
      </c>
      <c r="J89" s="2">
        <v>28217</v>
      </c>
      <c r="K89" s="2">
        <v>5</v>
      </c>
      <c r="L89" s="2">
        <v>2821.7</v>
      </c>
      <c r="M89" s="2">
        <v>53612.3</v>
      </c>
      <c r="N89" s="2" t="s">
        <v>56</v>
      </c>
      <c r="O89" s="2">
        <v>2</v>
      </c>
      <c r="P89" s="2" t="s">
        <v>24</v>
      </c>
    </row>
    <row r="90" spans="1:16" x14ac:dyDescent="0.25">
      <c r="A90" s="4">
        <v>44827</v>
      </c>
      <c r="B90" s="2" t="s">
        <v>296</v>
      </c>
      <c r="C90" s="2" t="s">
        <v>297</v>
      </c>
      <c r="D90" t="s">
        <v>53</v>
      </c>
      <c r="E90" s="2" t="s">
        <v>53</v>
      </c>
      <c r="F90" s="2" t="s">
        <v>35</v>
      </c>
      <c r="G90" s="2" t="s">
        <v>130</v>
      </c>
      <c r="H90" s="2" t="s">
        <v>131</v>
      </c>
      <c r="I90" s="2">
        <v>1</v>
      </c>
      <c r="J90" s="2">
        <v>18756</v>
      </c>
      <c r="K90" s="2">
        <v>20</v>
      </c>
      <c r="L90" s="2">
        <v>3751.2</v>
      </c>
      <c r="M90" s="2">
        <v>15004.8</v>
      </c>
      <c r="N90" s="2" t="s">
        <v>44</v>
      </c>
      <c r="O90" s="2">
        <v>4</v>
      </c>
      <c r="P90" s="2" t="s">
        <v>24</v>
      </c>
    </row>
    <row r="91" spans="1:16" x14ac:dyDescent="0.25">
      <c r="A91" s="4">
        <v>44828</v>
      </c>
      <c r="B91" s="2" t="s">
        <v>298</v>
      </c>
      <c r="C91" s="2" t="s">
        <v>299</v>
      </c>
      <c r="D91" t="s">
        <v>18</v>
      </c>
      <c r="E91" s="2" t="s">
        <v>19</v>
      </c>
      <c r="F91" s="2" t="s">
        <v>28</v>
      </c>
      <c r="G91" s="2" t="s">
        <v>289</v>
      </c>
      <c r="H91" s="2" t="s">
        <v>300</v>
      </c>
      <c r="I91" s="2">
        <v>3</v>
      </c>
      <c r="J91" s="2">
        <v>450</v>
      </c>
      <c r="K91" s="2">
        <v>5</v>
      </c>
      <c r="L91" s="2">
        <v>67.5</v>
      </c>
      <c r="M91" s="2">
        <v>1282.5</v>
      </c>
      <c r="N91" s="2" t="s">
        <v>50</v>
      </c>
      <c r="O91" s="2">
        <v>1</v>
      </c>
      <c r="P91" s="2" t="s">
        <v>24</v>
      </c>
    </row>
    <row r="92" spans="1:16" x14ac:dyDescent="0.25">
      <c r="A92" s="4">
        <v>44829</v>
      </c>
      <c r="B92" s="2" t="s">
        <v>301</v>
      </c>
      <c r="C92" s="2" t="s">
        <v>302</v>
      </c>
      <c r="D92" t="s">
        <v>33</v>
      </c>
      <c r="E92" s="2" t="s">
        <v>34</v>
      </c>
      <c r="F92" s="2" t="s">
        <v>71</v>
      </c>
      <c r="G92" s="2" t="s">
        <v>76</v>
      </c>
      <c r="H92" s="2" t="s">
        <v>181</v>
      </c>
      <c r="I92" s="2">
        <v>1</v>
      </c>
      <c r="J92" s="2">
        <v>714</v>
      </c>
      <c r="K92" s="2">
        <v>10</v>
      </c>
      <c r="L92" s="2">
        <v>71.400000000000006</v>
      </c>
      <c r="M92" s="2">
        <v>642.6</v>
      </c>
      <c r="N92" s="2" t="s">
        <v>56</v>
      </c>
      <c r="O92" s="2">
        <v>1</v>
      </c>
      <c r="P92" s="2" t="s">
        <v>24</v>
      </c>
    </row>
    <row r="93" spans="1:16" x14ac:dyDescent="0.25">
      <c r="A93" s="4">
        <v>44830</v>
      </c>
      <c r="B93" s="2" t="s">
        <v>303</v>
      </c>
      <c r="C93" s="2" t="s">
        <v>242</v>
      </c>
      <c r="D93" t="s">
        <v>174</v>
      </c>
      <c r="E93" s="2" t="s">
        <v>60</v>
      </c>
      <c r="F93" s="2" t="s">
        <v>71</v>
      </c>
      <c r="G93" s="2" t="s">
        <v>114</v>
      </c>
      <c r="H93" s="2" t="s">
        <v>304</v>
      </c>
      <c r="I93" s="2">
        <v>1</v>
      </c>
      <c r="J93" s="2">
        <v>898</v>
      </c>
      <c r="K93" s="2">
        <v>0</v>
      </c>
      <c r="L93" s="2">
        <v>0</v>
      </c>
      <c r="M93" s="2">
        <v>898</v>
      </c>
      <c r="N93" s="2" t="s">
        <v>44</v>
      </c>
      <c r="O93" s="2">
        <v>2</v>
      </c>
      <c r="P93" s="2" t="s">
        <v>24</v>
      </c>
    </row>
    <row r="94" spans="1:16" x14ac:dyDescent="0.25">
      <c r="A94" s="4">
        <v>44831</v>
      </c>
      <c r="B94" s="2" t="s">
        <v>305</v>
      </c>
      <c r="C94" s="2" t="s">
        <v>306</v>
      </c>
      <c r="D94" t="s">
        <v>27</v>
      </c>
      <c r="E94" s="2" t="s">
        <v>19</v>
      </c>
      <c r="F94" s="2" t="s">
        <v>20</v>
      </c>
      <c r="G94" s="2" t="s">
        <v>54</v>
      </c>
      <c r="H94" s="2" t="s">
        <v>55</v>
      </c>
      <c r="I94" s="2">
        <v>1</v>
      </c>
      <c r="J94" s="2">
        <v>362</v>
      </c>
      <c r="K94" s="2">
        <v>15</v>
      </c>
      <c r="L94" s="2">
        <v>54.3</v>
      </c>
      <c r="M94" s="2">
        <v>307.7</v>
      </c>
      <c r="N94" s="2" t="s">
        <v>44</v>
      </c>
      <c r="O94" s="2">
        <v>7</v>
      </c>
      <c r="P94" s="2" t="s">
        <v>24</v>
      </c>
    </row>
    <row r="95" spans="1:16" x14ac:dyDescent="0.25">
      <c r="A95" s="4">
        <v>44832</v>
      </c>
      <c r="B95" s="2" t="s">
        <v>307</v>
      </c>
      <c r="C95" s="2" t="s">
        <v>308</v>
      </c>
      <c r="D95" t="s">
        <v>66</v>
      </c>
      <c r="E95" s="2" t="s">
        <v>19</v>
      </c>
      <c r="F95" s="2" t="s">
        <v>61</v>
      </c>
      <c r="G95" s="2" t="s">
        <v>62</v>
      </c>
      <c r="H95" s="2" t="s">
        <v>156</v>
      </c>
      <c r="I95" s="2">
        <v>1</v>
      </c>
      <c r="J95" s="2">
        <v>1856</v>
      </c>
      <c r="K95" s="2">
        <v>15</v>
      </c>
      <c r="L95" s="2">
        <v>278.39999999999998</v>
      </c>
      <c r="M95" s="2">
        <v>1577.6</v>
      </c>
      <c r="N95" s="2" t="s">
        <v>23</v>
      </c>
      <c r="O95" s="2">
        <v>4</v>
      </c>
      <c r="P95" s="2" t="s">
        <v>24</v>
      </c>
    </row>
    <row r="96" spans="1:16" x14ac:dyDescent="0.25">
      <c r="A96" s="4">
        <v>44833</v>
      </c>
      <c r="B96" s="2" t="s">
        <v>309</v>
      </c>
      <c r="C96" s="2" t="s">
        <v>144</v>
      </c>
      <c r="D96" t="s">
        <v>18</v>
      </c>
      <c r="E96" s="2" t="s">
        <v>19</v>
      </c>
      <c r="F96" s="2" t="s">
        <v>61</v>
      </c>
      <c r="G96" s="2" t="s">
        <v>262</v>
      </c>
      <c r="H96" s="2" t="s">
        <v>310</v>
      </c>
      <c r="I96" s="2">
        <v>1</v>
      </c>
      <c r="J96" s="2">
        <v>1461</v>
      </c>
      <c r="K96" s="2">
        <v>0</v>
      </c>
      <c r="L96" s="2">
        <v>0</v>
      </c>
      <c r="M96" s="2">
        <v>1461</v>
      </c>
      <c r="N96" s="2" t="s">
        <v>50</v>
      </c>
      <c r="O96" s="2">
        <v>5</v>
      </c>
      <c r="P96" s="2" t="s">
        <v>24</v>
      </c>
    </row>
    <row r="97" spans="1:16" x14ac:dyDescent="0.25">
      <c r="A97" s="4">
        <v>44834</v>
      </c>
      <c r="B97" s="2" t="s">
        <v>311</v>
      </c>
      <c r="C97" s="2" t="s">
        <v>312</v>
      </c>
      <c r="D97" t="s">
        <v>47</v>
      </c>
      <c r="E97" s="2" t="s">
        <v>48</v>
      </c>
      <c r="F97" s="2" t="s">
        <v>35</v>
      </c>
      <c r="G97" s="2" t="s">
        <v>36</v>
      </c>
      <c r="H97" s="2" t="s">
        <v>37</v>
      </c>
      <c r="I97" s="2">
        <v>1</v>
      </c>
      <c r="J97" s="2">
        <v>39092</v>
      </c>
      <c r="K97" s="2">
        <v>15</v>
      </c>
      <c r="L97" s="2">
        <v>5863.8</v>
      </c>
      <c r="M97" s="2">
        <v>33228.199999999997</v>
      </c>
      <c r="N97" s="2" t="s">
        <v>44</v>
      </c>
      <c r="O97" s="2">
        <v>3</v>
      </c>
      <c r="P97" s="2" t="s">
        <v>24</v>
      </c>
    </row>
    <row r="98" spans="1:16" x14ac:dyDescent="0.25">
      <c r="A98" s="4">
        <v>44835</v>
      </c>
      <c r="B98" s="2" t="s">
        <v>313</v>
      </c>
      <c r="C98" s="2" t="s">
        <v>314</v>
      </c>
      <c r="D98" t="s">
        <v>33</v>
      </c>
      <c r="E98" s="2" t="s">
        <v>34</v>
      </c>
      <c r="F98" s="2" t="s">
        <v>71</v>
      </c>
      <c r="G98" s="2" t="s">
        <v>86</v>
      </c>
      <c r="H98" s="2" t="s">
        <v>145</v>
      </c>
      <c r="I98" s="2">
        <v>3</v>
      </c>
      <c r="J98" s="2">
        <v>1371</v>
      </c>
      <c r="K98" s="2">
        <v>15</v>
      </c>
      <c r="L98" s="2">
        <v>616.95000000000005</v>
      </c>
      <c r="M98" s="2">
        <v>3496.05</v>
      </c>
      <c r="N98" s="2" t="s">
        <v>23</v>
      </c>
      <c r="O98" s="2">
        <v>1</v>
      </c>
      <c r="P98" s="2" t="s">
        <v>24</v>
      </c>
    </row>
    <row r="99" spans="1:16" x14ac:dyDescent="0.25">
      <c r="A99" s="4">
        <v>44836</v>
      </c>
      <c r="B99" s="2" t="s">
        <v>315</v>
      </c>
      <c r="C99" s="2" t="s">
        <v>316</v>
      </c>
      <c r="D99" t="s">
        <v>41</v>
      </c>
      <c r="E99" s="2" t="s">
        <v>19</v>
      </c>
      <c r="F99" s="2" t="s">
        <v>28</v>
      </c>
      <c r="G99" s="2" t="s">
        <v>110</v>
      </c>
      <c r="H99" s="2" t="s">
        <v>317</v>
      </c>
      <c r="I99" s="2">
        <v>3</v>
      </c>
      <c r="J99" s="2">
        <v>4200</v>
      </c>
      <c r="K99" s="2">
        <v>5</v>
      </c>
      <c r="L99" s="2">
        <v>630</v>
      </c>
      <c r="M99" s="2">
        <v>11970</v>
      </c>
      <c r="N99" s="2" t="s">
        <v>44</v>
      </c>
      <c r="O99" s="2">
        <v>6</v>
      </c>
      <c r="P99" s="2" t="s">
        <v>24</v>
      </c>
    </row>
    <row r="100" spans="1:16" x14ac:dyDescent="0.25">
      <c r="A100" s="4">
        <v>44837</v>
      </c>
      <c r="B100" s="2" t="s">
        <v>318</v>
      </c>
      <c r="C100" s="2" t="s">
        <v>319</v>
      </c>
      <c r="D100" t="s">
        <v>47</v>
      </c>
      <c r="E100" s="2" t="s">
        <v>48</v>
      </c>
      <c r="F100" s="2" t="s">
        <v>28</v>
      </c>
      <c r="G100" s="2" t="s">
        <v>188</v>
      </c>
      <c r="H100" s="2" t="s">
        <v>206</v>
      </c>
      <c r="I100" s="2">
        <v>1</v>
      </c>
      <c r="J100" s="2">
        <v>2650</v>
      </c>
      <c r="K100" s="2">
        <v>5</v>
      </c>
      <c r="L100" s="2">
        <v>132.5</v>
      </c>
      <c r="M100" s="2">
        <v>2517.5</v>
      </c>
      <c r="N100" s="2" t="s">
        <v>23</v>
      </c>
      <c r="O100" s="2">
        <v>2</v>
      </c>
      <c r="P100" s="2" t="s">
        <v>24</v>
      </c>
    </row>
    <row r="101" spans="1:16" x14ac:dyDescent="0.25">
      <c r="A101" s="4">
        <v>44838</v>
      </c>
      <c r="B101" s="2" t="s">
        <v>320</v>
      </c>
      <c r="C101" s="2" t="s">
        <v>321</v>
      </c>
      <c r="D101" t="s">
        <v>84</v>
      </c>
      <c r="E101" s="2" t="s">
        <v>85</v>
      </c>
      <c r="F101" s="2" t="s">
        <v>35</v>
      </c>
      <c r="G101" s="2" t="s">
        <v>67</v>
      </c>
      <c r="H101" s="2" t="s">
        <v>322</v>
      </c>
      <c r="I101" s="2">
        <v>1</v>
      </c>
      <c r="J101" s="2">
        <v>25697</v>
      </c>
      <c r="K101" s="2">
        <v>5</v>
      </c>
      <c r="L101" s="2">
        <v>1284.8499999999999</v>
      </c>
      <c r="M101" s="2">
        <v>24412.15</v>
      </c>
      <c r="N101" s="2" t="s">
        <v>44</v>
      </c>
      <c r="O101" s="2">
        <v>4</v>
      </c>
      <c r="P101" s="2" t="s">
        <v>24</v>
      </c>
    </row>
    <row r="102" spans="1:16" x14ac:dyDescent="0.25">
      <c r="A102" s="4">
        <v>44839</v>
      </c>
      <c r="B102" s="2" t="s">
        <v>323</v>
      </c>
      <c r="C102" s="2" t="s">
        <v>324</v>
      </c>
      <c r="D102" t="s">
        <v>174</v>
      </c>
      <c r="E102" s="2" t="s">
        <v>60</v>
      </c>
      <c r="F102" s="2" t="s">
        <v>35</v>
      </c>
      <c r="G102" s="2" t="s">
        <v>36</v>
      </c>
      <c r="H102" s="2" t="s">
        <v>37</v>
      </c>
      <c r="I102" s="2">
        <v>2</v>
      </c>
      <c r="J102" s="2">
        <v>23007</v>
      </c>
      <c r="K102" s="2">
        <v>0</v>
      </c>
      <c r="L102" s="2">
        <v>0</v>
      </c>
      <c r="M102" s="2">
        <v>46014</v>
      </c>
      <c r="N102" s="2" t="s">
        <v>44</v>
      </c>
      <c r="O102" s="2">
        <v>6</v>
      </c>
      <c r="P102" s="2" t="s">
        <v>24</v>
      </c>
    </row>
    <row r="103" spans="1:16" x14ac:dyDescent="0.25">
      <c r="A103" s="4">
        <v>44840</v>
      </c>
      <c r="B103" s="2" t="s">
        <v>325</v>
      </c>
      <c r="C103" s="2" t="s">
        <v>326</v>
      </c>
      <c r="D103" t="s">
        <v>47</v>
      </c>
      <c r="E103" s="2" t="s">
        <v>48</v>
      </c>
      <c r="F103" s="2" t="s">
        <v>20</v>
      </c>
      <c r="G103" s="2" t="s">
        <v>139</v>
      </c>
      <c r="H103" s="2" t="s">
        <v>327</v>
      </c>
      <c r="I103" s="2">
        <v>1</v>
      </c>
      <c r="J103" s="2">
        <v>6765</v>
      </c>
      <c r="K103" s="2">
        <v>5</v>
      </c>
      <c r="L103" s="2">
        <v>338.25</v>
      </c>
      <c r="M103" s="2">
        <v>6426.75</v>
      </c>
      <c r="N103" s="2" t="s">
        <v>23</v>
      </c>
      <c r="O103" s="2">
        <v>3</v>
      </c>
      <c r="P103" s="2" t="s">
        <v>24</v>
      </c>
    </row>
    <row r="104" spans="1:16" x14ac:dyDescent="0.25">
      <c r="A104" s="4">
        <v>44841</v>
      </c>
      <c r="B104" s="2" t="s">
        <v>328</v>
      </c>
      <c r="C104" s="2" t="s">
        <v>329</v>
      </c>
      <c r="D104" t="s">
        <v>84</v>
      </c>
      <c r="E104" s="2" t="s">
        <v>85</v>
      </c>
      <c r="F104" s="2" t="s">
        <v>71</v>
      </c>
      <c r="G104" s="2" t="s">
        <v>76</v>
      </c>
      <c r="H104" s="2" t="s">
        <v>95</v>
      </c>
      <c r="I104" s="2">
        <v>1</v>
      </c>
      <c r="J104" s="2">
        <v>1480</v>
      </c>
      <c r="K104" s="2">
        <v>10</v>
      </c>
      <c r="L104" s="2">
        <v>148</v>
      </c>
      <c r="M104" s="2">
        <v>1332</v>
      </c>
      <c r="N104" s="2" t="s">
        <v>23</v>
      </c>
      <c r="O104" s="2">
        <v>3</v>
      </c>
      <c r="P104" s="2" t="s">
        <v>24</v>
      </c>
    </row>
    <row r="105" spans="1:16" x14ac:dyDescent="0.25">
      <c r="A105" s="4">
        <v>44842</v>
      </c>
      <c r="B105" s="2" t="s">
        <v>330</v>
      </c>
      <c r="C105" s="2" t="s">
        <v>153</v>
      </c>
      <c r="D105" t="s">
        <v>27</v>
      </c>
      <c r="E105" s="2" t="s">
        <v>19</v>
      </c>
      <c r="F105" s="2" t="s">
        <v>61</v>
      </c>
      <c r="G105" s="2" t="s">
        <v>200</v>
      </c>
      <c r="H105" s="2" t="s">
        <v>331</v>
      </c>
      <c r="I105" s="2">
        <v>1</v>
      </c>
      <c r="J105" s="2">
        <v>1523</v>
      </c>
      <c r="K105" s="2">
        <v>5</v>
      </c>
      <c r="L105" s="2">
        <v>76.150000000000006</v>
      </c>
      <c r="M105" s="2">
        <v>1446.85</v>
      </c>
      <c r="N105" s="2" t="s">
        <v>23</v>
      </c>
      <c r="O105" s="2">
        <v>2</v>
      </c>
      <c r="P105" s="2" t="s">
        <v>24</v>
      </c>
    </row>
    <row r="106" spans="1:16" x14ac:dyDescent="0.25">
      <c r="A106" s="4">
        <v>44843</v>
      </c>
      <c r="B106" s="2" t="s">
        <v>332</v>
      </c>
      <c r="C106" s="2" t="s">
        <v>235</v>
      </c>
      <c r="D106" t="s">
        <v>66</v>
      </c>
      <c r="E106" s="2" t="s">
        <v>19</v>
      </c>
      <c r="F106" s="2" t="s">
        <v>28</v>
      </c>
      <c r="G106" s="2" t="s">
        <v>90</v>
      </c>
      <c r="H106" s="2" t="s">
        <v>333</v>
      </c>
      <c r="I106" s="2">
        <v>1</v>
      </c>
      <c r="J106" s="2">
        <v>1228</v>
      </c>
      <c r="K106" s="2">
        <v>15</v>
      </c>
      <c r="L106" s="2">
        <v>184.2</v>
      </c>
      <c r="M106" s="2">
        <v>1043.8</v>
      </c>
      <c r="N106" s="2" t="s">
        <v>44</v>
      </c>
      <c r="O106" s="2">
        <v>3</v>
      </c>
      <c r="P106" s="2" t="s">
        <v>24</v>
      </c>
    </row>
    <row r="107" spans="1:16" x14ac:dyDescent="0.25">
      <c r="A107" s="4">
        <v>44844</v>
      </c>
      <c r="B107" s="2" t="s">
        <v>334</v>
      </c>
      <c r="C107" s="2" t="s">
        <v>335</v>
      </c>
      <c r="D107" t="s">
        <v>41</v>
      </c>
      <c r="E107" s="2" t="s">
        <v>19</v>
      </c>
      <c r="F107" s="2" t="s">
        <v>61</v>
      </c>
      <c r="G107" s="2" t="s">
        <v>62</v>
      </c>
      <c r="H107" s="2" t="s">
        <v>156</v>
      </c>
      <c r="I107" s="2">
        <v>1</v>
      </c>
      <c r="J107" s="2">
        <v>991</v>
      </c>
      <c r="K107" s="2">
        <v>10</v>
      </c>
      <c r="L107" s="2">
        <v>99.1</v>
      </c>
      <c r="M107" s="2">
        <v>891.9</v>
      </c>
      <c r="N107" s="2" t="s">
        <v>23</v>
      </c>
      <c r="O107" s="2">
        <v>2</v>
      </c>
      <c r="P107" s="2" t="s">
        <v>24</v>
      </c>
    </row>
    <row r="108" spans="1:16" x14ac:dyDescent="0.25">
      <c r="A108" s="4">
        <v>44845</v>
      </c>
      <c r="B108" s="2" t="s">
        <v>336</v>
      </c>
      <c r="C108" s="2" t="s">
        <v>197</v>
      </c>
      <c r="D108" t="s">
        <v>53</v>
      </c>
      <c r="E108" s="2" t="s">
        <v>53</v>
      </c>
      <c r="F108" s="2" t="s">
        <v>71</v>
      </c>
      <c r="G108" s="2" t="s">
        <v>76</v>
      </c>
      <c r="H108" s="2" t="s">
        <v>95</v>
      </c>
      <c r="I108" s="2">
        <v>3</v>
      </c>
      <c r="J108" s="2">
        <v>1218</v>
      </c>
      <c r="K108" s="2">
        <v>20</v>
      </c>
      <c r="L108" s="2">
        <v>730.8</v>
      </c>
      <c r="M108" s="2">
        <v>2923.2</v>
      </c>
      <c r="N108" s="2" t="s">
        <v>50</v>
      </c>
      <c r="O108" s="2">
        <v>2</v>
      </c>
      <c r="P108" s="2" t="s">
        <v>24</v>
      </c>
    </row>
    <row r="109" spans="1:16" x14ac:dyDescent="0.25">
      <c r="A109" s="4">
        <v>44846</v>
      </c>
      <c r="B109" s="2" t="s">
        <v>337</v>
      </c>
      <c r="C109" s="2" t="s">
        <v>109</v>
      </c>
      <c r="D109" t="s">
        <v>27</v>
      </c>
      <c r="E109" s="2" t="s">
        <v>19</v>
      </c>
      <c r="F109" s="2" t="s">
        <v>61</v>
      </c>
      <c r="G109" s="2" t="s">
        <v>62</v>
      </c>
      <c r="H109" s="2" t="s">
        <v>156</v>
      </c>
      <c r="I109" s="2">
        <v>2</v>
      </c>
      <c r="J109" s="2">
        <v>1463</v>
      </c>
      <c r="K109" s="2">
        <v>15</v>
      </c>
      <c r="L109" s="2">
        <v>438.9</v>
      </c>
      <c r="M109" s="2">
        <v>2487.1</v>
      </c>
      <c r="N109" s="2" t="s">
        <v>56</v>
      </c>
      <c r="O109" s="2">
        <v>1</v>
      </c>
      <c r="P109" s="2" t="s">
        <v>24</v>
      </c>
    </row>
    <row r="110" spans="1:16" x14ac:dyDescent="0.25">
      <c r="A110" s="4">
        <v>44847</v>
      </c>
      <c r="B110" s="2" t="s">
        <v>338</v>
      </c>
      <c r="C110" s="2" t="s">
        <v>339</v>
      </c>
      <c r="D110" t="s">
        <v>84</v>
      </c>
      <c r="E110" s="2" t="s">
        <v>85</v>
      </c>
      <c r="F110" s="2" t="s">
        <v>35</v>
      </c>
      <c r="G110" s="2" t="s">
        <v>80</v>
      </c>
      <c r="H110" s="2" t="s">
        <v>216</v>
      </c>
      <c r="I110" s="2">
        <v>1</v>
      </c>
      <c r="J110" s="2">
        <v>34143</v>
      </c>
      <c r="K110" s="2">
        <v>15</v>
      </c>
      <c r="L110" s="2">
        <v>5121.45</v>
      </c>
      <c r="M110" s="2">
        <v>29021.55</v>
      </c>
      <c r="N110" s="2" t="s">
        <v>23</v>
      </c>
      <c r="O110" s="2">
        <v>2</v>
      </c>
      <c r="P110" s="2" t="s">
        <v>24</v>
      </c>
    </row>
    <row r="111" spans="1:16" x14ac:dyDescent="0.25">
      <c r="A111" s="4">
        <v>44848</v>
      </c>
      <c r="B111" s="2" t="s">
        <v>340</v>
      </c>
      <c r="C111" s="2" t="s">
        <v>26</v>
      </c>
      <c r="D111" t="s">
        <v>59</v>
      </c>
      <c r="E111" s="2" t="s">
        <v>60</v>
      </c>
      <c r="F111" s="2" t="s">
        <v>35</v>
      </c>
      <c r="G111" s="2" t="s">
        <v>36</v>
      </c>
      <c r="H111" s="2" t="s">
        <v>341</v>
      </c>
      <c r="I111" s="2">
        <v>1</v>
      </c>
      <c r="J111" s="2">
        <v>25807</v>
      </c>
      <c r="K111" s="2">
        <v>5</v>
      </c>
      <c r="L111" s="2">
        <v>1290.3499999999999</v>
      </c>
      <c r="M111" s="2">
        <v>24516.65</v>
      </c>
      <c r="N111" s="2" t="s">
        <v>23</v>
      </c>
      <c r="O111" s="2">
        <v>3</v>
      </c>
      <c r="P111" s="2" t="s">
        <v>24</v>
      </c>
    </row>
    <row r="112" spans="1:16" x14ac:dyDescent="0.25">
      <c r="A112" s="4">
        <v>44849</v>
      </c>
      <c r="B112" s="2" t="s">
        <v>342</v>
      </c>
      <c r="C112" s="2" t="s">
        <v>343</v>
      </c>
      <c r="D112" t="s">
        <v>174</v>
      </c>
      <c r="E112" s="2" t="s">
        <v>60</v>
      </c>
      <c r="F112" s="2" t="s">
        <v>35</v>
      </c>
      <c r="G112" s="2" t="s">
        <v>130</v>
      </c>
      <c r="H112" s="2" t="s">
        <v>175</v>
      </c>
      <c r="I112" s="2">
        <v>1</v>
      </c>
      <c r="J112" s="2">
        <v>9595</v>
      </c>
      <c r="K112" s="2">
        <v>15</v>
      </c>
      <c r="L112" s="2">
        <v>1439.25</v>
      </c>
      <c r="M112" s="2">
        <v>8155.75</v>
      </c>
      <c r="N112" s="2" t="s">
        <v>23</v>
      </c>
      <c r="O112" s="2">
        <v>2</v>
      </c>
      <c r="P112" s="2" t="s">
        <v>24</v>
      </c>
    </row>
    <row r="113" spans="1:16" x14ac:dyDescent="0.25">
      <c r="A113" s="4">
        <v>44850</v>
      </c>
      <c r="B113" s="2" t="s">
        <v>344</v>
      </c>
      <c r="C113" s="2" t="s">
        <v>345</v>
      </c>
      <c r="D113" t="s">
        <v>41</v>
      </c>
      <c r="E113" s="2" t="s">
        <v>19</v>
      </c>
      <c r="F113" s="2" t="s">
        <v>71</v>
      </c>
      <c r="G113" s="2" t="s">
        <v>106</v>
      </c>
      <c r="H113" s="2" t="s">
        <v>346</v>
      </c>
      <c r="I113" s="2">
        <v>2</v>
      </c>
      <c r="J113" s="2">
        <v>538</v>
      </c>
      <c r="K113" s="2">
        <v>5</v>
      </c>
      <c r="L113" s="2">
        <v>53.8</v>
      </c>
      <c r="M113" s="2">
        <v>1022.2</v>
      </c>
      <c r="N113" s="2" t="s">
        <v>44</v>
      </c>
      <c r="O113" s="2">
        <v>6</v>
      </c>
      <c r="P113" s="2" t="s">
        <v>92</v>
      </c>
    </row>
    <row r="114" spans="1:16" x14ac:dyDescent="0.25">
      <c r="A114" s="4">
        <v>44851</v>
      </c>
      <c r="B114" s="2" t="s">
        <v>347</v>
      </c>
      <c r="C114" s="2" t="s">
        <v>348</v>
      </c>
      <c r="D114" t="s">
        <v>18</v>
      </c>
      <c r="E114" s="2" t="s">
        <v>19</v>
      </c>
      <c r="F114" s="2" t="s">
        <v>71</v>
      </c>
      <c r="G114" s="2" t="s">
        <v>86</v>
      </c>
      <c r="H114" s="2" t="s">
        <v>145</v>
      </c>
      <c r="I114" s="2">
        <v>2</v>
      </c>
      <c r="J114" s="2">
        <v>772</v>
      </c>
      <c r="K114" s="2">
        <v>0</v>
      </c>
      <c r="L114" s="2">
        <v>0</v>
      </c>
      <c r="M114" s="2">
        <v>1544</v>
      </c>
      <c r="N114" s="2" t="s">
        <v>50</v>
      </c>
      <c r="O114" s="2">
        <v>3</v>
      </c>
      <c r="P114" s="2" t="s">
        <v>24</v>
      </c>
    </row>
    <row r="115" spans="1:16" x14ac:dyDescent="0.25">
      <c r="A115" s="4">
        <v>44852</v>
      </c>
      <c r="B115" s="2" t="s">
        <v>349</v>
      </c>
      <c r="C115" s="2" t="s">
        <v>1478</v>
      </c>
      <c r="D115" t="s">
        <v>47</v>
      </c>
      <c r="E115" s="2" t="s">
        <v>48</v>
      </c>
      <c r="F115" s="2" t="s">
        <v>35</v>
      </c>
      <c r="G115" s="2" t="s">
        <v>124</v>
      </c>
      <c r="H115" s="2" t="s">
        <v>350</v>
      </c>
      <c r="I115" s="2">
        <v>1</v>
      </c>
      <c r="J115" s="2">
        <v>33767</v>
      </c>
      <c r="K115" s="2">
        <v>0</v>
      </c>
      <c r="L115" s="2">
        <v>0</v>
      </c>
      <c r="M115" s="2">
        <v>33767</v>
      </c>
      <c r="N115" s="2" t="s">
        <v>50</v>
      </c>
      <c r="O115" s="2">
        <v>2</v>
      </c>
      <c r="P115" s="2" t="s">
        <v>24</v>
      </c>
    </row>
    <row r="116" spans="1:16" x14ac:dyDescent="0.25">
      <c r="A116" s="4">
        <v>44853</v>
      </c>
      <c r="B116" s="2" t="s">
        <v>351</v>
      </c>
      <c r="C116" s="2" t="s">
        <v>352</v>
      </c>
      <c r="D116" t="s">
        <v>33</v>
      </c>
      <c r="E116" s="2" t="s">
        <v>34</v>
      </c>
      <c r="F116" s="2" t="s">
        <v>20</v>
      </c>
      <c r="G116" s="2" t="s">
        <v>21</v>
      </c>
      <c r="H116" s="2" t="s">
        <v>136</v>
      </c>
      <c r="I116" s="2">
        <v>2</v>
      </c>
      <c r="J116" s="2">
        <v>663</v>
      </c>
      <c r="K116" s="2">
        <v>5</v>
      </c>
      <c r="L116" s="2">
        <v>66.3</v>
      </c>
      <c r="M116" s="2">
        <v>1259.7</v>
      </c>
      <c r="N116" s="2" t="s">
        <v>56</v>
      </c>
      <c r="O116" s="2">
        <v>4</v>
      </c>
      <c r="P116" s="2" t="s">
        <v>24</v>
      </c>
    </row>
    <row r="117" spans="1:16" x14ac:dyDescent="0.25">
      <c r="A117" s="4">
        <v>44854</v>
      </c>
      <c r="B117" s="2" t="s">
        <v>353</v>
      </c>
      <c r="C117" s="2" t="s">
        <v>354</v>
      </c>
      <c r="D117" t="s">
        <v>66</v>
      </c>
      <c r="E117" s="2" t="s">
        <v>19</v>
      </c>
      <c r="F117" s="2" t="s">
        <v>28</v>
      </c>
      <c r="G117" s="2" t="s">
        <v>90</v>
      </c>
      <c r="H117" s="2" t="s">
        <v>91</v>
      </c>
      <c r="I117" s="2">
        <v>2</v>
      </c>
      <c r="J117" s="2">
        <v>702</v>
      </c>
      <c r="K117" s="2">
        <v>10</v>
      </c>
      <c r="L117" s="2">
        <v>140.4</v>
      </c>
      <c r="M117" s="2">
        <v>1263.5999999999999</v>
      </c>
      <c r="N117" s="2" t="s">
        <v>44</v>
      </c>
      <c r="O117" s="2">
        <v>5</v>
      </c>
      <c r="P117" s="2" t="s">
        <v>24</v>
      </c>
    </row>
    <row r="118" spans="1:16" x14ac:dyDescent="0.25">
      <c r="A118" s="4">
        <v>44855</v>
      </c>
      <c r="B118" s="2" t="s">
        <v>355</v>
      </c>
      <c r="C118" s="2" t="s">
        <v>356</v>
      </c>
      <c r="D118" t="s">
        <v>66</v>
      </c>
      <c r="E118" s="2" t="s">
        <v>19</v>
      </c>
      <c r="F118" s="2" t="s">
        <v>20</v>
      </c>
      <c r="G118" s="2" t="s">
        <v>54</v>
      </c>
      <c r="H118" s="2" t="s">
        <v>55</v>
      </c>
      <c r="I118" s="2">
        <v>1</v>
      </c>
      <c r="J118" s="2">
        <v>2538</v>
      </c>
      <c r="K118" s="2">
        <v>5</v>
      </c>
      <c r="L118" s="2">
        <v>126.9</v>
      </c>
      <c r="M118" s="2">
        <v>2411.1</v>
      </c>
      <c r="N118" s="2" t="s">
        <v>50</v>
      </c>
      <c r="O118" s="2">
        <v>2</v>
      </c>
      <c r="P118" s="2" t="s">
        <v>24</v>
      </c>
    </row>
    <row r="119" spans="1:16" x14ac:dyDescent="0.25">
      <c r="A119" s="4">
        <v>44856</v>
      </c>
      <c r="B119" s="2" t="s">
        <v>357</v>
      </c>
      <c r="C119" s="2" t="s">
        <v>358</v>
      </c>
      <c r="D119" t="s">
        <v>174</v>
      </c>
      <c r="E119" s="2" t="s">
        <v>60</v>
      </c>
      <c r="F119" s="2" t="s">
        <v>61</v>
      </c>
      <c r="G119" s="2" t="s">
        <v>150</v>
      </c>
      <c r="H119" s="2" t="s">
        <v>359</v>
      </c>
      <c r="I119" s="2">
        <v>3</v>
      </c>
      <c r="J119" s="2">
        <v>319</v>
      </c>
      <c r="K119" s="2">
        <v>0</v>
      </c>
      <c r="L119" s="2">
        <v>0</v>
      </c>
      <c r="M119" s="2">
        <v>957</v>
      </c>
      <c r="N119" s="2" t="s">
        <v>56</v>
      </c>
      <c r="O119" s="2">
        <v>4</v>
      </c>
      <c r="P119" s="2" t="s">
        <v>24</v>
      </c>
    </row>
    <row r="120" spans="1:16" x14ac:dyDescent="0.25">
      <c r="A120" s="4">
        <v>44857</v>
      </c>
      <c r="B120" s="2" t="s">
        <v>360</v>
      </c>
      <c r="C120" s="2" t="s">
        <v>40</v>
      </c>
      <c r="D120" t="s">
        <v>47</v>
      </c>
      <c r="E120" s="2" t="s">
        <v>48</v>
      </c>
      <c r="F120" s="2" t="s">
        <v>35</v>
      </c>
      <c r="G120" s="2" t="s">
        <v>67</v>
      </c>
      <c r="H120" s="2" t="s">
        <v>361</v>
      </c>
      <c r="I120" s="2">
        <v>1</v>
      </c>
      <c r="J120" s="2">
        <v>20586</v>
      </c>
      <c r="K120" s="2">
        <v>0</v>
      </c>
      <c r="L120" s="2">
        <v>0</v>
      </c>
      <c r="M120" s="2">
        <v>20586</v>
      </c>
      <c r="N120" s="2" t="s">
        <v>50</v>
      </c>
      <c r="O120" s="2">
        <v>2</v>
      </c>
      <c r="P120" s="2" t="s">
        <v>24</v>
      </c>
    </row>
    <row r="121" spans="1:16" x14ac:dyDescent="0.25">
      <c r="A121" s="4">
        <v>44858</v>
      </c>
      <c r="B121" s="2" t="s">
        <v>362</v>
      </c>
      <c r="C121" s="2" t="s">
        <v>363</v>
      </c>
      <c r="D121" t="s">
        <v>84</v>
      </c>
      <c r="E121" s="2" t="s">
        <v>85</v>
      </c>
      <c r="F121" s="2" t="s">
        <v>35</v>
      </c>
      <c r="G121" s="2" t="s">
        <v>67</v>
      </c>
      <c r="H121" s="2" t="s">
        <v>364</v>
      </c>
      <c r="I121" s="2">
        <v>1</v>
      </c>
      <c r="J121" s="2">
        <v>10984</v>
      </c>
      <c r="K121" s="2">
        <v>10</v>
      </c>
      <c r="L121" s="2">
        <v>1098.4000000000001</v>
      </c>
      <c r="M121" s="2">
        <v>9885.6</v>
      </c>
      <c r="N121" s="2" t="s">
        <v>50</v>
      </c>
      <c r="O121" s="2">
        <v>1</v>
      </c>
      <c r="P121" s="2" t="s">
        <v>24</v>
      </c>
    </row>
    <row r="122" spans="1:16" x14ac:dyDescent="0.25">
      <c r="A122" s="4">
        <v>44859</v>
      </c>
      <c r="B122" s="2" t="s">
        <v>365</v>
      </c>
      <c r="C122" s="2" t="s">
        <v>265</v>
      </c>
      <c r="D122" t="s">
        <v>47</v>
      </c>
      <c r="E122" s="2" t="s">
        <v>48</v>
      </c>
      <c r="F122" s="2" t="s">
        <v>61</v>
      </c>
      <c r="G122" s="2" t="s">
        <v>250</v>
      </c>
      <c r="H122" s="2" t="s">
        <v>366</v>
      </c>
      <c r="I122" s="2">
        <v>1</v>
      </c>
      <c r="J122" s="2">
        <v>1059</v>
      </c>
      <c r="K122" s="2">
        <v>5</v>
      </c>
      <c r="L122" s="2">
        <v>52.95</v>
      </c>
      <c r="M122" s="2">
        <v>1006.05</v>
      </c>
      <c r="N122" s="2" t="s">
        <v>50</v>
      </c>
      <c r="O122" s="2">
        <v>2</v>
      </c>
      <c r="P122" s="2" t="s">
        <v>24</v>
      </c>
    </row>
    <row r="123" spans="1:16" x14ac:dyDescent="0.25">
      <c r="A123" s="4">
        <v>44860</v>
      </c>
      <c r="B123" s="2" t="s">
        <v>367</v>
      </c>
      <c r="C123" s="2" t="s">
        <v>191</v>
      </c>
      <c r="D123" t="s">
        <v>53</v>
      </c>
      <c r="E123" s="2" t="s">
        <v>53</v>
      </c>
      <c r="F123" s="2" t="s">
        <v>35</v>
      </c>
      <c r="G123" s="2" t="s">
        <v>67</v>
      </c>
      <c r="H123" s="2" t="s">
        <v>368</v>
      </c>
      <c r="I123" s="2">
        <v>1</v>
      </c>
      <c r="J123" s="2">
        <v>25861</v>
      </c>
      <c r="K123" s="2">
        <v>10</v>
      </c>
      <c r="L123" s="2">
        <v>2586.1</v>
      </c>
      <c r="M123" s="2">
        <v>23274.9</v>
      </c>
      <c r="N123" s="2" t="s">
        <v>23</v>
      </c>
      <c r="O123" s="2">
        <v>3</v>
      </c>
      <c r="P123" s="2" t="s">
        <v>24</v>
      </c>
    </row>
    <row r="124" spans="1:16" x14ac:dyDescent="0.25">
      <c r="A124" s="4">
        <v>44861</v>
      </c>
      <c r="B124" s="2" t="s">
        <v>369</v>
      </c>
      <c r="C124" s="2" t="s">
        <v>225</v>
      </c>
      <c r="D124" t="s">
        <v>53</v>
      </c>
      <c r="E124" s="2" t="s">
        <v>53</v>
      </c>
      <c r="F124" s="2" t="s">
        <v>35</v>
      </c>
      <c r="G124" s="2" t="s">
        <v>80</v>
      </c>
      <c r="H124" s="2" t="s">
        <v>274</v>
      </c>
      <c r="I124" s="2">
        <v>1</v>
      </c>
      <c r="J124" s="2">
        <v>29670</v>
      </c>
      <c r="K124" s="2">
        <v>10</v>
      </c>
      <c r="L124" s="2">
        <v>2967</v>
      </c>
      <c r="M124" s="2">
        <v>26703</v>
      </c>
      <c r="N124" s="2" t="s">
        <v>44</v>
      </c>
      <c r="O124" s="2">
        <v>4</v>
      </c>
      <c r="P124" s="2" t="s">
        <v>24</v>
      </c>
    </row>
    <row r="125" spans="1:16" x14ac:dyDescent="0.25">
      <c r="A125" s="4">
        <v>44862</v>
      </c>
      <c r="B125" s="2" t="s">
        <v>370</v>
      </c>
      <c r="C125" s="2" t="s">
        <v>371</v>
      </c>
      <c r="D125" t="s">
        <v>174</v>
      </c>
      <c r="E125" s="2" t="s">
        <v>60</v>
      </c>
      <c r="F125" s="2" t="s">
        <v>20</v>
      </c>
      <c r="G125" s="2" t="s">
        <v>42</v>
      </c>
      <c r="H125" s="2" t="s">
        <v>43</v>
      </c>
      <c r="I125" s="2">
        <v>1</v>
      </c>
      <c r="J125" s="2">
        <v>2239</v>
      </c>
      <c r="K125" s="2">
        <v>0</v>
      </c>
      <c r="L125" s="2">
        <v>0</v>
      </c>
      <c r="M125" s="2">
        <v>2239</v>
      </c>
      <c r="N125" s="2" t="s">
        <v>56</v>
      </c>
      <c r="O125" s="2">
        <v>2</v>
      </c>
      <c r="P125" s="2" t="s">
        <v>24</v>
      </c>
    </row>
    <row r="126" spans="1:16" x14ac:dyDescent="0.25">
      <c r="A126" s="4">
        <v>44863</v>
      </c>
      <c r="B126" s="2" t="s">
        <v>372</v>
      </c>
      <c r="C126" s="2" t="s">
        <v>373</v>
      </c>
      <c r="D126" t="s">
        <v>41</v>
      </c>
      <c r="E126" s="2" t="s">
        <v>19</v>
      </c>
      <c r="F126" s="2" t="s">
        <v>35</v>
      </c>
      <c r="G126" s="2" t="s">
        <v>67</v>
      </c>
      <c r="H126" s="2" t="s">
        <v>361</v>
      </c>
      <c r="I126" s="2">
        <v>1</v>
      </c>
      <c r="J126" s="2">
        <v>31869</v>
      </c>
      <c r="K126" s="2">
        <v>15</v>
      </c>
      <c r="L126" s="2">
        <v>4780.3500000000004</v>
      </c>
      <c r="M126" s="2">
        <v>27088.65</v>
      </c>
      <c r="N126" s="2" t="s">
        <v>23</v>
      </c>
      <c r="O126" s="2">
        <v>5</v>
      </c>
      <c r="P126" s="2" t="s">
        <v>24</v>
      </c>
    </row>
    <row r="127" spans="1:16" x14ac:dyDescent="0.25">
      <c r="A127" s="4">
        <v>44864</v>
      </c>
      <c r="B127" s="2" t="s">
        <v>374</v>
      </c>
      <c r="C127" s="2" t="s">
        <v>375</v>
      </c>
      <c r="D127" t="s">
        <v>66</v>
      </c>
      <c r="E127" s="2" t="s">
        <v>19</v>
      </c>
      <c r="F127" s="2" t="s">
        <v>61</v>
      </c>
      <c r="G127" s="2" t="s">
        <v>250</v>
      </c>
      <c r="H127" s="2" t="s">
        <v>256</v>
      </c>
      <c r="I127" s="2">
        <v>1</v>
      </c>
      <c r="J127" s="2">
        <v>414</v>
      </c>
      <c r="K127" s="2">
        <v>5</v>
      </c>
      <c r="L127" s="2">
        <v>20.7</v>
      </c>
      <c r="M127" s="2">
        <v>393.3</v>
      </c>
      <c r="N127" s="2" t="s">
        <v>44</v>
      </c>
      <c r="O127" s="2">
        <v>8</v>
      </c>
      <c r="P127" s="2" t="s">
        <v>24</v>
      </c>
    </row>
    <row r="128" spans="1:16" x14ac:dyDescent="0.25">
      <c r="A128" s="4">
        <v>44865</v>
      </c>
      <c r="B128" s="2" t="s">
        <v>376</v>
      </c>
      <c r="C128" s="2" t="s">
        <v>83</v>
      </c>
      <c r="D128" t="s">
        <v>174</v>
      </c>
      <c r="E128" s="2" t="s">
        <v>60</v>
      </c>
      <c r="F128" s="2" t="s">
        <v>20</v>
      </c>
      <c r="G128" s="2" t="s">
        <v>21</v>
      </c>
      <c r="H128" s="2" t="s">
        <v>49</v>
      </c>
      <c r="I128" s="2">
        <v>3</v>
      </c>
      <c r="J128" s="2">
        <v>7229</v>
      </c>
      <c r="K128" s="2">
        <v>0</v>
      </c>
      <c r="L128" s="2">
        <v>0</v>
      </c>
      <c r="M128" s="2">
        <v>21687</v>
      </c>
      <c r="N128" s="2" t="s">
        <v>38</v>
      </c>
      <c r="O128" s="2">
        <v>2</v>
      </c>
      <c r="P128" s="2" t="s">
        <v>24</v>
      </c>
    </row>
    <row r="129" spans="1:16" x14ac:dyDescent="0.25">
      <c r="A129" s="4">
        <v>44866</v>
      </c>
      <c r="B129" s="2" t="s">
        <v>377</v>
      </c>
      <c r="C129" s="2" t="s">
        <v>220</v>
      </c>
      <c r="D129" t="s">
        <v>41</v>
      </c>
      <c r="E129" s="2" t="s">
        <v>19</v>
      </c>
      <c r="F129" s="2" t="s">
        <v>71</v>
      </c>
      <c r="G129" s="2" t="s">
        <v>114</v>
      </c>
      <c r="H129" s="2" t="s">
        <v>115</v>
      </c>
      <c r="I129" s="2">
        <v>1</v>
      </c>
      <c r="J129" s="2">
        <v>1328</v>
      </c>
      <c r="K129" s="2">
        <v>10</v>
      </c>
      <c r="L129" s="2">
        <v>132.80000000000001</v>
      </c>
      <c r="M129" s="2">
        <v>1195.2</v>
      </c>
      <c r="N129" s="2" t="s">
        <v>56</v>
      </c>
      <c r="O129" s="2">
        <v>4</v>
      </c>
      <c r="P129" s="2" t="s">
        <v>24</v>
      </c>
    </row>
    <row r="130" spans="1:16" x14ac:dyDescent="0.25">
      <c r="A130" s="4">
        <v>44867</v>
      </c>
      <c r="B130" s="2" t="s">
        <v>378</v>
      </c>
      <c r="C130" s="2" t="s">
        <v>379</v>
      </c>
      <c r="D130" t="s">
        <v>18</v>
      </c>
      <c r="E130" s="2" t="s">
        <v>19</v>
      </c>
      <c r="F130" s="2" t="s">
        <v>35</v>
      </c>
      <c r="G130" s="2" t="s">
        <v>67</v>
      </c>
      <c r="H130" s="2" t="s">
        <v>322</v>
      </c>
      <c r="I130" s="2">
        <v>1</v>
      </c>
      <c r="J130" s="2">
        <v>14315</v>
      </c>
      <c r="K130" s="2">
        <v>5</v>
      </c>
      <c r="L130" s="2">
        <v>715.75</v>
      </c>
      <c r="M130" s="2">
        <v>13599.25</v>
      </c>
      <c r="N130" s="2" t="s">
        <v>56</v>
      </c>
      <c r="O130" s="2">
        <v>2</v>
      </c>
      <c r="P130" s="2" t="s">
        <v>24</v>
      </c>
    </row>
    <row r="131" spans="1:16" x14ac:dyDescent="0.25">
      <c r="A131" s="4">
        <v>44868</v>
      </c>
      <c r="B131" s="2" t="s">
        <v>380</v>
      </c>
      <c r="C131" s="2" t="s">
        <v>381</v>
      </c>
      <c r="D131" t="s">
        <v>53</v>
      </c>
      <c r="E131" s="2" t="s">
        <v>53</v>
      </c>
      <c r="F131" s="2" t="s">
        <v>61</v>
      </c>
      <c r="G131" s="2" t="s">
        <v>200</v>
      </c>
      <c r="H131" s="2" t="s">
        <v>226</v>
      </c>
      <c r="I131" s="2">
        <v>1</v>
      </c>
      <c r="J131" s="2">
        <v>1001</v>
      </c>
      <c r="K131" s="2">
        <v>5</v>
      </c>
      <c r="L131" s="2">
        <v>50.05</v>
      </c>
      <c r="M131" s="2">
        <v>950.95</v>
      </c>
      <c r="N131" s="2" t="s">
        <v>23</v>
      </c>
      <c r="O131" s="2">
        <v>1</v>
      </c>
      <c r="P131" s="2" t="s">
        <v>24</v>
      </c>
    </row>
    <row r="132" spans="1:16" x14ac:dyDescent="0.25">
      <c r="A132" s="4">
        <v>44869</v>
      </c>
      <c r="B132" s="2" t="s">
        <v>382</v>
      </c>
      <c r="C132" s="2" t="s">
        <v>383</v>
      </c>
      <c r="D132" t="s">
        <v>59</v>
      </c>
      <c r="E132" s="2" t="s">
        <v>60</v>
      </c>
      <c r="F132" s="2" t="s">
        <v>28</v>
      </c>
      <c r="G132" s="2" t="s">
        <v>289</v>
      </c>
      <c r="H132" s="2" t="s">
        <v>290</v>
      </c>
      <c r="I132" s="2">
        <v>1</v>
      </c>
      <c r="J132" s="2">
        <v>2380</v>
      </c>
      <c r="K132" s="2">
        <v>5</v>
      </c>
      <c r="L132" s="2">
        <v>119</v>
      </c>
      <c r="M132" s="2">
        <v>2261</v>
      </c>
      <c r="N132" s="2" t="s">
        <v>23</v>
      </c>
      <c r="O132" s="2">
        <v>1</v>
      </c>
      <c r="P132" s="2" t="s">
        <v>24</v>
      </c>
    </row>
    <row r="133" spans="1:16" x14ac:dyDescent="0.25">
      <c r="A133" s="4">
        <v>44870</v>
      </c>
      <c r="B133" s="2" t="s">
        <v>384</v>
      </c>
      <c r="C133" s="2" t="s">
        <v>385</v>
      </c>
      <c r="D133" t="s">
        <v>53</v>
      </c>
      <c r="E133" s="2" t="s">
        <v>53</v>
      </c>
      <c r="F133" s="2" t="s">
        <v>28</v>
      </c>
      <c r="G133" s="2" t="s">
        <v>289</v>
      </c>
      <c r="H133" s="2" t="s">
        <v>290</v>
      </c>
      <c r="I133" s="2">
        <v>2</v>
      </c>
      <c r="J133" s="2">
        <v>1705</v>
      </c>
      <c r="K133" s="2">
        <v>5</v>
      </c>
      <c r="L133" s="2">
        <v>170.5</v>
      </c>
      <c r="M133" s="2">
        <v>3239.5</v>
      </c>
      <c r="N133" s="2" t="s">
        <v>23</v>
      </c>
      <c r="O133" s="2">
        <v>1</v>
      </c>
      <c r="P133" s="2" t="s">
        <v>24</v>
      </c>
    </row>
    <row r="134" spans="1:16" x14ac:dyDescent="0.25">
      <c r="A134" s="4">
        <v>44871</v>
      </c>
      <c r="B134" s="2" t="s">
        <v>386</v>
      </c>
      <c r="C134" s="2" t="s">
        <v>387</v>
      </c>
      <c r="D134" t="s">
        <v>66</v>
      </c>
      <c r="E134" s="2" t="s">
        <v>19</v>
      </c>
      <c r="F134" s="2" t="s">
        <v>28</v>
      </c>
      <c r="G134" s="2" t="s">
        <v>90</v>
      </c>
      <c r="H134" s="2" t="s">
        <v>281</v>
      </c>
      <c r="I134" s="2">
        <v>1</v>
      </c>
      <c r="J134" s="2">
        <v>2704</v>
      </c>
      <c r="K134" s="2">
        <v>10</v>
      </c>
      <c r="L134" s="2">
        <v>270.39999999999998</v>
      </c>
      <c r="M134" s="2">
        <v>2433.6</v>
      </c>
      <c r="N134" s="2" t="s">
        <v>23</v>
      </c>
      <c r="O134" s="2">
        <v>1</v>
      </c>
      <c r="P134" s="2" t="s">
        <v>24</v>
      </c>
    </row>
    <row r="135" spans="1:16" x14ac:dyDescent="0.25">
      <c r="A135" s="4">
        <v>44872</v>
      </c>
      <c r="B135" s="2" t="s">
        <v>388</v>
      </c>
      <c r="C135" s="2" t="s">
        <v>389</v>
      </c>
      <c r="D135" t="s">
        <v>174</v>
      </c>
      <c r="E135" s="2" t="s">
        <v>60</v>
      </c>
      <c r="F135" s="2" t="s">
        <v>20</v>
      </c>
      <c r="G135" s="2" t="s">
        <v>139</v>
      </c>
      <c r="H135" s="2" t="s">
        <v>327</v>
      </c>
      <c r="I135" s="2">
        <v>1</v>
      </c>
      <c r="J135" s="2">
        <v>4971</v>
      </c>
      <c r="K135" s="2">
        <v>5</v>
      </c>
      <c r="L135" s="2">
        <v>248.55</v>
      </c>
      <c r="M135" s="2">
        <v>4722.45</v>
      </c>
      <c r="N135" s="2" t="s">
        <v>23</v>
      </c>
      <c r="O135" s="2">
        <v>2</v>
      </c>
      <c r="P135" s="2" t="s">
        <v>24</v>
      </c>
    </row>
    <row r="136" spans="1:16" x14ac:dyDescent="0.25">
      <c r="A136" s="4">
        <v>44873</v>
      </c>
      <c r="B136" s="2" t="s">
        <v>390</v>
      </c>
      <c r="C136" s="2" t="s">
        <v>391</v>
      </c>
      <c r="D136" t="s">
        <v>84</v>
      </c>
      <c r="E136" s="2" t="s">
        <v>85</v>
      </c>
      <c r="F136" s="2" t="s">
        <v>71</v>
      </c>
      <c r="G136" s="2" t="s">
        <v>86</v>
      </c>
      <c r="H136" s="2" t="s">
        <v>392</v>
      </c>
      <c r="I136" s="2">
        <v>1</v>
      </c>
      <c r="J136" s="2">
        <v>744</v>
      </c>
      <c r="K136" s="2">
        <v>5</v>
      </c>
      <c r="L136" s="2">
        <v>37.200000000000003</v>
      </c>
      <c r="M136" s="2">
        <v>706.8</v>
      </c>
      <c r="N136" s="2" t="s">
        <v>50</v>
      </c>
      <c r="O136" s="2">
        <v>1</v>
      </c>
      <c r="P136" s="2" t="s">
        <v>24</v>
      </c>
    </row>
    <row r="137" spans="1:16" x14ac:dyDescent="0.25">
      <c r="A137" s="4">
        <v>44874</v>
      </c>
      <c r="B137" s="2" t="s">
        <v>393</v>
      </c>
      <c r="C137" s="2" t="s">
        <v>65</v>
      </c>
      <c r="D137" t="s">
        <v>59</v>
      </c>
      <c r="E137" s="2" t="s">
        <v>60</v>
      </c>
      <c r="F137" s="2" t="s">
        <v>71</v>
      </c>
      <c r="G137" s="2" t="s">
        <v>114</v>
      </c>
      <c r="H137" s="2" t="s">
        <v>304</v>
      </c>
      <c r="I137" s="2">
        <v>1</v>
      </c>
      <c r="J137" s="2">
        <v>355</v>
      </c>
      <c r="K137" s="2">
        <v>10</v>
      </c>
      <c r="L137" s="2">
        <v>35.5</v>
      </c>
      <c r="M137" s="2">
        <v>319.5</v>
      </c>
      <c r="N137" s="2" t="s">
        <v>50</v>
      </c>
      <c r="O137" s="2">
        <v>2</v>
      </c>
      <c r="P137" s="2" t="s">
        <v>24</v>
      </c>
    </row>
    <row r="138" spans="1:16" x14ac:dyDescent="0.25">
      <c r="A138" s="4">
        <v>44875</v>
      </c>
      <c r="B138" s="2" t="s">
        <v>394</v>
      </c>
      <c r="C138" s="2" t="s">
        <v>395</v>
      </c>
      <c r="D138" t="s">
        <v>174</v>
      </c>
      <c r="E138" s="2" t="s">
        <v>60</v>
      </c>
      <c r="F138" s="2" t="s">
        <v>61</v>
      </c>
      <c r="G138" s="2" t="s">
        <v>250</v>
      </c>
      <c r="H138" s="2" t="s">
        <v>256</v>
      </c>
      <c r="I138" s="2">
        <v>1</v>
      </c>
      <c r="J138" s="2">
        <v>1153</v>
      </c>
      <c r="K138" s="2">
        <v>0</v>
      </c>
      <c r="L138" s="2">
        <v>0</v>
      </c>
      <c r="M138" s="2">
        <v>1153</v>
      </c>
      <c r="N138" s="2" t="s">
        <v>44</v>
      </c>
      <c r="O138" s="2">
        <v>3</v>
      </c>
      <c r="P138" s="2" t="s">
        <v>24</v>
      </c>
    </row>
    <row r="139" spans="1:16" x14ac:dyDescent="0.25">
      <c r="A139" s="4">
        <v>44876</v>
      </c>
      <c r="B139" s="2" t="s">
        <v>396</v>
      </c>
      <c r="C139" s="2" t="s">
        <v>397</v>
      </c>
      <c r="D139" t="s">
        <v>84</v>
      </c>
      <c r="E139" s="2" t="s">
        <v>85</v>
      </c>
      <c r="F139" s="2" t="s">
        <v>35</v>
      </c>
      <c r="G139" s="2" t="s">
        <v>124</v>
      </c>
      <c r="H139" s="2" t="s">
        <v>142</v>
      </c>
      <c r="I139" s="2">
        <v>1</v>
      </c>
      <c r="J139" s="2">
        <v>38410</v>
      </c>
      <c r="K139" s="2">
        <v>5</v>
      </c>
      <c r="L139" s="2">
        <v>1920.5</v>
      </c>
      <c r="M139" s="2">
        <v>36489.5</v>
      </c>
      <c r="N139" s="2" t="s">
        <v>50</v>
      </c>
      <c r="O139" s="2">
        <v>3</v>
      </c>
      <c r="P139" s="2" t="s">
        <v>24</v>
      </c>
    </row>
    <row r="140" spans="1:16" x14ac:dyDescent="0.25">
      <c r="A140" s="4">
        <v>44877</v>
      </c>
      <c r="B140" s="2" t="s">
        <v>398</v>
      </c>
      <c r="C140" s="2" t="s">
        <v>1478</v>
      </c>
      <c r="D140" t="s">
        <v>53</v>
      </c>
      <c r="E140" s="2" t="s">
        <v>53</v>
      </c>
      <c r="F140" s="2" t="s">
        <v>35</v>
      </c>
      <c r="G140" s="2" t="s">
        <v>124</v>
      </c>
      <c r="H140" s="2" t="s">
        <v>399</v>
      </c>
      <c r="I140" s="2">
        <v>1</v>
      </c>
      <c r="J140" s="2">
        <v>29403</v>
      </c>
      <c r="K140" s="2">
        <v>10</v>
      </c>
      <c r="L140" s="2">
        <v>2940.3</v>
      </c>
      <c r="M140" s="2">
        <v>26462.7</v>
      </c>
      <c r="N140" s="2" t="s">
        <v>50</v>
      </c>
      <c r="O140" s="2">
        <v>3</v>
      </c>
      <c r="P140" s="2" t="s">
        <v>24</v>
      </c>
    </row>
    <row r="141" spans="1:16" x14ac:dyDescent="0.25">
      <c r="A141" s="4">
        <v>44878</v>
      </c>
      <c r="B141" s="2" t="s">
        <v>400</v>
      </c>
      <c r="C141" s="2" t="s">
        <v>401</v>
      </c>
      <c r="D141" t="s">
        <v>174</v>
      </c>
      <c r="E141" s="2" t="s">
        <v>60</v>
      </c>
      <c r="F141" s="2" t="s">
        <v>71</v>
      </c>
      <c r="G141" s="2" t="s">
        <v>76</v>
      </c>
      <c r="H141" s="2" t="s">
        <v>402</v>
      </c>
      <c r="I141" s="2">
        <v>1</v>
      </c>
      <c r="J141" s="2">
        <v>404</v>
      </c>
      <c r="K141" s="2">
        <v>5</v>
      </c>
      <c r="L141" s="2">
        <v>20.2</v>
      </c>
      <c r="M141" s="2">
        <v>383.8</v>
      </c>
      <c r="N141" s="2" t="s">
        <v>50</v>
      </c>
      <c r="O141" s="2">
        <v>3</v>
      </c>
      <c r="P141" s="2" t="s">
        <v>24</v>
      </c>
    </row>
    <row r="142" spans="1:16" x14ac:dyDescent="0.25">
      <c r="A142" s="4">
        <v>44879</v>
      </c>
      <c r="B142" s="2" t="s">
        <v>403</v>
      </c>
      <c r="C142" s="2" t="s">
        <v>123</v>
      </c>
      <c r="D142" t="s">
        <v>41</v>
      </c>
      <c r="E142" s="2" t="s">
        <v>19</v>
      </c>
      <c r="F142" s="2" t="s">
        <v>61</v>
      </c>
      <c r="G142" s="2" t="s">
        <v>62</v>
      </c>
      <c r="H142" s="2" t="s">
        <v>156</v>
      </c>
      <c r="I142" s="2">
        <v>1</v>
      </c>
      <c r="J142" s="2">
        <v>1729</v>
      </c>
      <c r="K142" s="2">
        <v>10</v>
      </c>
      <c r="L142" s="2">
        <v>172.9</v>
      </c>
      <c r="M142" s="2">
        <v>1556.1</v>
      </c>
      <c r="N142" s="2" t="s">
        <v>56</v>
      </c>
      <c r="O142" s="2">
        <v>2</v>
      </c>
      <c r="P142" s="2" t="s">
        <v>24</v>
      </c>
    </row>
    <row r="143" spans="1:16" x14ac:dyDescent="0.25">
      <c r="A143" s="4">
        <v>44880</v>
      </c>
      <c r="B143" s="2" t="s">
        <v>404</v>
      </c>
      <c r="C143" s="2" t="s">
        <v>405</v>
      </c>
      <c r="D143" t="s">
        <v>27</v>
      </c>
      <c r="E143" s="2" t="s">
        <v>19</v>
      </c>
      <c r="F143" s="2" t="s">
        <v>20</v>
      </c>
      <c r="G143" s="2" t="s">
        <v>139</v>
      </c>
      <c r="H143" s="2" t="s">
        <v>140</v>
      </c>
      <c r="I143" s="2">
        <v>1</v>
      </c>
      <c r="J143" s="2">
        <v>7638</v>
      </c>
      <c r="K143" s="2">
        <v>20</v>
      </c>
      <c r="L143" s="2">
        <v>1527.6</v>
      </c>
      <c r="M143" s="2">
        <v>6110.4</v>
      </c>
      <c r="N143" s="2" t="s">
        <v>44</v>
      </c>
      <c r="O143" s="2">
        <v>5</v>
      </c>
      <c r="P143" s="2" t="s">
        <v>24</v>
      </c>
    </row>
    <row r="144" spans="1:16" x14ac:dyDescent="0.25">
      <c r="A144" s="4">
        <v>44881</v>
      </c>
      <c r="B144" s="2" t="s">
        <v>406</v>
      </c>
      <c r="C144" s="2" t="s">
        <v>407</v>
      </c>
      <c r="D144" t="s">
        <v>66</v>
      </c>
      <c r="E144" s="2" t="s">
        <v>19</v>
      </c>
      <c r="F144" s="2" t="s">
        <v>20</v>
      </c>
      <c r="G144" s="2" t="s">
        <v>170</v>
      </c>
      <c r="H144" s="2" t="s">
        <v>171</v>
      </c>
      <c r="I144" s="2">
        <v>1</v>
      </c>
      <c r="J144" s="2">
        <v>7943</v>
      </c>
      <c r="K144" s="2">
        <v>0</v>
      </c>
      <c r="L144" s="2">
        <v>0</v>
      </c>
      <c r="M144" s="2">
        <v>7943</v>
      </c>
      <c r="N144" s="2" t="s">
        <v>23</v>
      </c>
      <c r="O144" s="2">
        <v>3</v>
      </c>
      <c r="P144" s="2" t="s">
        <v>24</v>
      </c>
    </row>
    <row r="145" spans="1:16" x14ac:dyDescent="0.25">
      <c r="A145" s="4">
        <v>44882</v>
      </c>
      <c r="B145" s="2" t="s">
        <v>408</v>
      </c>
      <c r="C145" s="2" t="s">
        <v>158</v>
      </c>
      <c r="D145" t="s">
        <v>53</v>
      </c>
      <c r="E145" s="2" t="s">
        <v>53</v>
      </c>
      <c r="F145" s="2" t="s">
        <v>28</v>
      </c>
      <c r="G145" s="2" t="s">
        <v>110</v>
      </c>
      <c r="H145" s="2" t="s">
        <v>409</v>
      </c>
      <c r="I145" s="2">
        <v>1</v>
      </c>
      <c r="J145" s="2">
        <v>1223</v>
      </c>
      <c r="K145" s="2">
        <v>0</v>
      </c>
      <c r="L145" s="2">
        <v>0</v>
      </c>
      <c r="M145" s="2">
        <v>1223</v>
      </c>
      <c r="N145" s="2" t="s">
        <v>56</v>
      </c>
      <c r="O145" s="2">
        <v>4</v>
      </c>
      <c r="P145" s="2" t="s">
        <v>24</v>
      </c>
    </row>
    <row r="146" spans="1:16" x14ac:dyDescent="0.25">
      <c r="A146" s="4">
        <v>44883</v>
      </c>
      <c r="B146" s="2" t="s">
        <v>410</v>
      </c>
      <c r="C146" s="2" t="s">
        <v>411</v>
      </c>
      <c r="D146" t="s">
        <v>66</v>
      </c>
      <c r="E146" s="2" t="s">
        <v>19</v>
      </c>
      <c r="F146" s="2" t="s">
        <v>28</v>
      </c>
      <c r="G146" s="2" t="s">
        <v>289</v>
      </c>
      <c r="H146" s="2" t="s">
        <v>300</v>
      </c>
      <c r="I146" s="2">
        <v>1</v>
      </c>
      <c r="J146" s="2">
        <v>1132</v>
      </c>
      <c r="K146" s="2">
        <v>5</v>
      </c>
      <c r="L146" s="2">
        <v>56.6</v>
      </c>
      <c r="M146" s="2">
        <v>1075.4000000000001</v>
      </c>
      <c r="N146" s="2" t="s">
        <v>44</v>
      </c>
      <c r="O146" s="2">
        <v>8</v>
      </c>
      <c r="P146" s="2" t="s">
        <v>24</v>
      </c>
    </row>
    <row r="147" spans="1:16" x14ac:dyDescent="0.25">
      <c r="A147" s="4">
        <v>44884</v>
      </c>
      <c r="B147" s="2" t="s">
        <v>412</v>
      </c>
      <c r="C147" s="2" t="s">
        <v>211</v>
      </c>
      <c r="D147" t="s">
        <v>174</v>
      </c>
      <c r="E147" s="2" t="s">
        <v>60</v>
      </c>
      <c r="F147" s="2" t="s">
        <v>35</v>
      </c>
      <c r="G147" s="2" t="s">
        <v>36</v>
      </c>
      <c r="H147" s="2" t="s">
        <v>164</v>
      </c>
      <c r="I147" s="2">
        <v>1</v>
      </c>
      <c r="J147" s="2">
        <v>19470</v>
      </c>
      <c r="K147" s="2">
        <v>10</v>
      </c>
      <c r="L147" s="2">
        <v>1947</v>
      </c>
      <c r="M147" s="2">
        <v>17523</v>
      </c>
      <c r="N147" s="2" t="s">
        <v>44</v>
      </c>
      <c r="O147" s="2">
        <v>3</v>
      </c>
      <c r="P147" s="2" t="s">
        <v>24</v>
      </c>
    </row>
    <row r="148" spans="1:16" x14ac:dyDescent="0.25">
      <c r="A148" s="4">
        <v>44885</v>
      </c>
      <c r="B148" s="2" t="s">
        <v>413</v>
      </c>
      <c r="C148" s="2" t="s">
        <v>356</v>
      </c>
      <c r="D148" t="s">
        <v>27</v>
      </c>
      <c r="E148" s="2" t="s">
        <v>19</v>
      </c>
      <c r="F148" s="2" t="s">
        <v>61</v>
      </c>
      <c r="G148" s="2" t="s">
        <v>62</v>
      </c>
      <c r="H148" s="2" t="s">
        <v>414</v>
      </c>
      <c r="I148" s="2">
        <v>1</v>
      </c>
      <c r="J148" s="2">
        <v>482</v>
      </c>
      <c r="K148" s="2">
        <v>10</v>
      </c>
      <c r="L148" s="2">
        <v>48.2</v>
      </c>
      <c r="M148" s="2">
        <v>433.8</v>
      </c>
      <c r="N148" s="2" t="s">
        <v>44</v>
      </c>
      <c r="O148" s="2">
        <v>3</v>
      </c>
      <c r="P148" s="2" t="s">
        <v>24</v>
      </c>
    </row>
    <row r="149" spans="1:16" x14ac:dyDescent="0.25">
      <c r="A149" s="4">
        <v>44886</v>
      </c>
      <c r="B149" s="2" t="s">
        <v>415</v>
      </c>
      <c r="C149" s="2" t="s">
        <v>138</v>
      </c>
      <c r="D149" t="s">
        <v>174</v>
      </c>
      <c r="E149" s="2" t="s">
        <v>60</v>
      </c>
      <c r="F149" s="2" t="s">
        <v>71</v>
      </c>
      <c r="G149" s="2" t="s">
        <v>106</v>
      </c>
      <c r="H149" s="2" t="s">
        <v>183</v>
      </c>
      <c r="I149" s="2">
        <v>1</v>
      </c>
      <c r="J149" s="2">
        <v>428</v>
      </c>
      <c r="K149" s="2">
        <v>20</v>
      </c>
      <c r="L149" s="2">
        <v>85.6</v>
      </c>
      <c r="M149" s="2">
        <v>342.4</v>
      </c>
      <c r="N149" s="2" t="s">
        <v>50</v>
      </c>
      <c r="O149" s="2">
        <v>4</v>
      </c>
      <c r="P149" s="2" t="s">
        <v>24</v>
      </c>
    </row>
    <row r="150" spans="1:16" x14ac:dyDescent="0.25">
      <c r="A150" s="4">
        <v>44887</v>
      </c>
      <c r="B150" s="2" t="s">
        <v>416</v>
      </c>
      <c r="C150" s="2" t="s">
        <v>417</v>
      </c>
      <c r="D150" t="s">
        <v>59</v>
      </c>
      <c r="E150" s="2" t="s">
        <v>60</v>
      </c>
      <c r="F150" s="2" t="s">
        <v>28</v>
      </c>
      <c r="G150" s="2" t="s">
        <v>188</v>
      </c>
      <c r="H150" s="2" t="s">
        <v>418</v>
      </c>
      <c r="I150" s="2">
        <v>3</v>
      </c>
      <c r="J150" s="2">
        <v>493</v>
      </c>
      <c r="K150" s="2">
        <v>10</v>
      </c>
      <c r="L150" s="2">
        <v>147.9</v>
      </c>
      <c r="M150" s="2">
        <v>1331.1</v>
      </c>
      <c r="N150" s="2" t="s">
        <v>23</v>
      </c>
      <c r="O150" s="2">
        <v>1</v>
      </c>
      <c r="P150" s="2" t="s">
        <v>24</v>
      </c>
    </row>
    <row r="151" spans="1:16" x14ac:dyDescent="0.25">
      <c r="A151" s="4">
        <v>44888</v>
      </c>
      <c r="B151" s="2" t="s">
        <v>419</v>
      </c>
      <c r="C151" s="2" t="s">
        <v>326</v>
      </c>
      <c r="D151" t="s">
        <v>59</v>
      </c>
      <c r="E151" s="2" t="s">
        <v>60</v>
      </c>
      <c r="F151" s="2" t="s">
        <v>71</v>
      </c>
      <c r="G151" s="2" t="s">
        <v>72</v>
      </c>
      <c r="H151" s="2" t="s">
        <v>420</v>
      </c>
      <c r="I151" s="2">
        <v>1</v>
      </c>
      <c r="J151" s="2">
        <v>498</v>
      </c>
      <c r="K151" s="2">
        <v>20</v>
      </c>
      <c r="L151" s="2">
        <v>99.6</v>
      </c>
      <c r="M151" s="2">
        <v>398.4</v>
      </c>
      <c r="N151" s="2" t="s">
        <v>50</v>
      </c>
      <c r="O151" s="2">
        <v>2</v>
      </c>
      <c r="P151" s="2" t="s">
        <v>24</v>
      </c>
    </row>
    <row r="152" spans="1:16" x14ac:dyDescent="0.25">
      <c r="A152" s="4">
        <v>44889</v>
      </c>
      <c r="B152" s="2" t="s">
        <v>421</v>
      </c>
      <c r="C152" s="2" t="s">
        <v>422</v>
      </c>
      <c r="D152" t="s">
        <v>59</v>
      </c>
      <c r="E152" s="2" t="s">
        <v>60</v>
      </c>
      <c r="F152" s="2" t="s">
        <v>71</v>
      </c>
      <c r="G152" s="2" t="s">
        <v>106</v>
      </c>
      <c r="H152" s="2" t="s">
        <v>423</v>
      </c>
      <c r="I152" s="2">
        <v>2</v>
      </c>
      <c r="J152" s="2">
        <v>1270</v>
      </c>
      <c r="K152" s="2">
        <v>15</v>
      </c>
      <c r="L152" s="2">
        <v>381</v>
      </c>
      <c r="M152" s="2">
        <v>2159</v>
      </c>
      <c r="N152" s="2" t="s">
        <v>23</v>
      </c>
      <c r="O152" s="2">
        <v>2</v>
      </c>
      <c r="P152" s="2" t="s">
        <v>24</v>
      </c>
    </row>
    <row r="153" spans="1:16" x14ac:dyDescent="0.25">
      <c r="A153" s="4">
        <v>44890</v>
      </c>
      <c r="B153" s="2" t="s">
        <v>424</v>
      </c>
      <c r="C153" s="2" t="s">
        <v>187</v>
      </c>
      <c r="D153" t="s">
        <v>33</v>
      </c>
      <c r="E153" s="2" t="s">
        <v>34</v>
      </c>
      <c r="F153" s="2" t="s">
        <v>71</v>
      </c>
      <c r="G153" s="2" t="s">
        <v>114</v>
      </c>
      <c r="H153" s="2" t="s">
        <v>304</v>
      </c>
      <c r="I153" s="2">
        <v>2</v>
      </c>
      <c r="J153" s="2">
        <v>356</v>
      </c>
      <c r="K153" s="2">
        <v>0</v>
      </c>
      <c r="L153" s="2">
        <v>0</v>
      </c>
      <c r="M153" s="2">
        <v>712</v>
      </c>
      <c r="N153" s="2" t="s">
        <v>44</v>
      </c>
      <c r="O153" s="2">
        <v>3</v>
      </c>
      <c r="P153" s="2" t="s">
        <v>24</v>
      </c>
    </row>
    <row r="154" spans="1:16" x14ac:dyDescent="0.25">
      <c r="A154" s="4">
        <v>44891</v>
      </c>
      <c r="B154" s="2" t="s">
        <v>425</v>
      </c>
      <c r="C154" s="2" t="s">
        <v>426</v>
      </c>
      <c r="D154" t="s">
        <v>33</v>
      </c>
      <c r="E154" s="2" t="s">
        <v>34</v>
      </c>
      <c r="F154" s="2" t="s">
        <v>71</v>
      </c>
      <c r="G154" s="2" t="s">
        <v>106</v>
      </c>
      <c r="H154" s="2" t="s">
        <v>346</v>
      </c>
      <c r="I154" s="2">
        <v>1</v>
      </c>
      <c r="J154" s="2">
        <v>168</v>
      </c>
      <c r="K154" s="2">
        <v>5</v>
      </c>
      <c r="L154" s="2">
        <v>8.4</v>
      </c>
      <c r="M154" s="2">
        <v>159.6</v>
      </c>
      <c r="N154" s="2" t="s">
        <v>56</v>
      </c>
      <c r="O154" s="2">
        <v>2</v>
      </c>
      <c r="P154" s="2" t="s">
        <v>24</v>
      </c>
    </row>
    <row r="155" spans="1:16" x14ac:dyDescent="0.25">
      <c r="A155" s="4">
        <v>44892</v>
      </c>
      <c r="B155" s="2" t="s">
        <v>427</v>
      </c>
      <c r="C155" s="2" t="s">
        <v>1478</v>
      </c>
      <c r="D155" t="s">
        <v>84</v>
      </c>
      <c r="E155" s="2" t="s">
        <v>85</v>
      </c>
      <c r="F155" s="2" t="s">
        <v>35</v>
      </c>
      <c r="G155" s="2" t="s">
        <v>80</v>
      </c>
      <c r="H155" s="2" t="s">
        <v>81</v>
      </c>
      <c r="I155" s="2">
        <v>1</v>
      </c>
      <c r="J155" s="2">
        <v>28267</v>
      </c>
      <c r="K155" s="2">
        <v>20</v>
      </c>
      <c r="L155" s="2">
        <v>5653.4</v>
      </c>
      <c r="M155" s="2">
        <v>22613.599999999999</v>
      </c>
      <c r="N155" s="2" t="s">
        <v>44</v>
      </c>
      <c r="O155" s="2">
        <v>2</v>
      </c>
      <c r="P155" s="2" t="s">
        <v>24</v>
      </c>
    </row>
    <row r="156" spans="1:16" x14ac:dyDescent="0.25">
      <c r="A156" s="4">
        <v>44893</v>
      </c>
      <c r="B156" s="2" t="s">
        <v>428</v>
      </c>
      <c r="C156" s="2" t="s">
        <v>105</v>
      </c>
      <c r="D156" t="s">
        <v>59</v>
      </c>
      <c r="E156" s="2" t="s">
        <v>60</v>
      </c>
      <c r="F156" s="2" t="s">
        <v>28</v>
      </c>
      <c r="G156" s="2" t="s">
        <v>90</v>
      </c>
      <c r="H156" s="2" t="s">
        <v>103</v>
      </c>
      <c r="I156" s="2">
        <v>1</v>
      </c>
      <c r="J156" s="2">
        <v>4074</v>
      </c>
      <c r="K156" s="2">
        <v>0</v>
      </c>
      <c r="L156" s="2">
        <v>0</v>
      </c>
      <c r="M156" s="2">
        <v>4074</v>
      </c>
      <c r="N156" s="2" t="s">
        <v>38</v>
      </c>
      <c r="O156" s="2">
        <v>4</v>
      </c>
      <c r="P156" s="2" t="s">
        <v>24</v>
      </c>
    </row>
    <row r="157" spans="1:16" x14ac:dyDescent="0.25">
      <c r="A157" s="4">
        <v>44894</v>
      </c>
      <c r="B157" s="2" t="s">
        <v>429</v>
      </c>
      <c r="C157" s="2" t="s">
        <v>405</v>
      </c>
      <c r="D157" t="s">
        <v>33</v>
      </c>
      <c r="E157" s="2" t="s">
        <v>34</v>
      </c>
      <c r="F157" s="2" t="s">
        <v>28</v>
      </c>
      <c r="G157" s="2" t="s">
        <v>29</v>
      </c>
      <c r="H157" s="2" t="s">
        <v>30</v>
      </c>
      <c r="I157" s="2">
        <v>1</v>
      </c>
      <c r="J157" s="2">
        <v>428</v>
      </c>
      <c r="K157" s="2">
        <v>5</v>
      </c>
      <c r="L157" s="2">
        <v>21.4</v>
      </c>
      <c r="M157" s="2">
        <v>406.6</v>
      </c>
      <c r="N157" s="2" t="s">
        <v>44</v>
      </c>
      <c r="O157" s="2">
        <v>3</v>
      </c>
      <c r="P157" s="2" t="s">
        <v>24</v>
      </c>
    </row>
    <row r="158" spans="1:16" x14ac:dyDescent="0.25">
      <c r="A158" s="4">
        <v>44895</v>
      </c>
      <c r="B158" s="2" t="s">
        <v>430</v>
      </c>
      <c r="C158" s="2" t="s">
        <v>113</v>
      </c>
      <c r="D158" t="s">
        <v>66</v>
      </c>
      <c r="E158" s="2" t="s">
        <v>19</v>
      </c>
      <c r="F158" s="2" t="s">
        <v>20</v>
      </c>
      <c r="G158" s="2" t="s">
        <v>21</v>
      </c>
      <c r="H158" s="2" t="s">
        <v>49</v>
      </c>
      <c r="I158" s="2">
        <v>1</v>
      </c>
      <c r="J158" s="2">
        <v>6931</v>
      </c>
      <c r="K158" s="2">
        <v>10</v>
      </c>
      <c r="L158" s="2">
        <v>693.1</v>
      </c>
      <c r="M158" s="2">
        <v>6237.9</v>
      </c>
      <c r="N158" s="2" t="s">
        <v>44</v>
      </c>
      <c r="O158" s="2">
        <v>8</v>
      </c>
      <c r="P158" s="2" t="s">
        <v>24</v>
      </c>
    </row>
    <row r="159" spans="1:16" x14ac:dyDescent="0.25">
      <c r="A159" s="4">
        <v>44896</v>
      </c>
      <c r="B159" s="2" t="s">
        <v>431</v>
      </c>
      <c r="C159" s="2" t="s">
        <v>432</v>
      </c>
      <c r="D159" t="s">
        <v>41</v>
      </c>
      <c r="E159" s="2" t="s">
        <v>19</v>
      </c>
      <c r="F159" s="2" t="s">
        <v>35</v>
      </c>
      <c r="G159" s="2" t="s">
        <v>36</v>
      </c>
      <c r="H159" s="2" t="s">
        <v>341</v>
      </c>
      <c r="I159" s="2">
        <v>1</v>
      </c>
      <c r="J159" s="2">
        <v>3690</v>
      </c>
      <c r="K159" s="2">
        <v>5</v>
      </c>
      <c r="L159" s="2">
        <v>184.5</v>
      </c>
      <c r="M159" s="2">
        <v>3505.5</v>
      </c>
      <c r="N159" s="2" t="s">
        <v>50</v>
      </c>
      <c r="O159" s="2">
        <v>3</v>
      </c>
      <c r="P159" s="2" t="s">
        <v>24</v>
      </c>
    </row>
    <row r="160" spans="1:16" x14ac:dyDescent="0.25">
      <c r="A160" s="4">
        <v>44897</v>
      </c>
      <c r="B160" s="2" t="s">
        <v>433</v>
      </c>
      <c r="C160" s="2" t="s">
        <v>434</v>
      </c>
      <c r="D160" t="s">
        <v>27</v>
      </c>
      <c r="E160" s="2" t="s">
        <v>19</v>
      </c>
      <c r="F160" s="2" t="s">
        <v>20</v>
      </c>
      <c r="G160" s="2" t="s">
        <v>21</v>
      </c>
      <c r="H160" s="2" t="s">
        <v>435</v>
      </c>
      <c r="I160" s="2">
        <v>1</v>
      </c>
      <c r="J160" s="2">
        <v>2240</v>
      </c>
      <c r="K160" s="2">
        <v>20</v>
      </c>
      <c r="L160" s="2">
        <v>448</v>
      </c>
      <c r="M160" s="2">
        <v>1792</v>
      </c>
      <c r="N160" s="2" t="s">
        <v>50</v>
      </c>
      <c r="O160" s="2">
        <v>2</v>
      </c>
      <c r="P160" s="2" t="s">
        <v>24</v>
      </c>
    </row>
    <row r="161" spans="1:16" x14ac:dyDescent="0.25">
      <c r="A161" s="4">
        <v>44898</v>
      </c>
      <c r="B161" s="2" t="s">
        <v>436</v>
      </c>
      <c r="C161" s="2" t="s">
        <v>437</v>
      </c>
      <c r="D161" t="s">
        <v>59</v>
      </c>
      <c r="E161" s="2" t="s">
        <v>60</v>
      </c>
      <c r="F161" s="2" t="s">
        <v>71</v>
      </c>
      <c r="G161" s="2" t="s">
        <v>106</v>
      </c>
      <c r="H161" s="2" t="s">
        <v>346</v>
      </c>
      <c r="I161" s="2">
        <v>3</v>
      </c>
      <c r="J161" s="2">
        <v>902</v>
      </c>
      <c r="K161" s="2">
        <v>5</v>
      </c>
      <c r="L161" s="2">
        <v>135.30000000000001</v>
      </c>
      <c r="M161" s="2">
        <v>2570.6999999999998</v>
      </c>
      <c r="N161" s="2" t="s">
        <v>23</v>
      </c>
      <c r="O161" s="2">
        <v>2</v>
      </c>
      <c r="P161" s="2" t="s">
        <v>24</v>
      </c>
    </row>
    <row r="162" spans="1:16" x14ac:dyDescent="0.25">
      <c r="A162" s="4">
        <v>44899</v>
      </c>
      <c r="B162" s="2" t="s">
        <v>438</v>
      </c>
      <c r="C162" s="2" t="s">
        <v>180</v>
      </c>
      <c r="D162" t="s">
        <v>53</v>
      </c>
      <c r="E162" s="2" t="s">
        <v>53</v>
      </c>
      <c r="F162" s="2" t="s">
        <v>28</v>
      </c>
      <c r="G162" s="2" t="s">
        <v>289</v>
      </c>
      <c r="H162" s="2" t="s">
        <v>439</v>
      </c>
      <c r="I162" s="2">
        <v>2</v>
      </c>
      <c r="J162" s="2">
        <v>3780</v>
      </c>
      <c r="K162" s="2">
        <v>0</v>
      </c>
      <c r="L162" s="2">
        <v>0</v>
      </c>
      <c r="M162" s="2">
        <v>7560</v>
      </c>
      <c r="N162" s="2" t="s">
        <v>23</v>
      </c>
      <c r="O162" s="2">
        <v>2</v>
      </c>
      <c r="P162" s="2" t="s">
        <v>24</v>
      </c>
    </row>
    <row r="163" spans="1:16" x14ac:dyDescent="0.25">
      <c r="A163" s="4">
        <v>44900</v>
      </c>
      <c r="B163" s="2" t="s">
        <v>440</v>
      </c>
      <c r="C163" s="2" t="s">
        <v>249</v>
      </c>
      <c r="D163" t="s">
        <v>66</v>
      </c>
      <c r="E163" s="2" t="s">
        <v>19</v>
      </c>
      <c r="F163" s="2" t="s">
        <v>20</v>
      </c>
      <c r="G163" s="2" t="s">
        <v>54</v>
      </c>
      <c r="H163" s="2" t="s">
        <v>441</v>
      </c>
      <c r="I163" s="2">
        <v>2</v>
      </c>
      <c r="J163" s="2">
        <v>2499</v>
      </c>
      <c r="K163" s="2">
        <v>10</v>
      </c>
      <c r="L163" s="2">
        <v>499.8</v>
      </c>
      <c r="M163" s="2">
        <v>4498.2</v>
      </c>
      <c r="N163" s="2" t="s">
        <v>23</v>
      </c>
      <c r="O163" s="2">
        <v>1</v>
      </c>
      <c r="P163" s="2" t="s">
        <v>24</v>
      </c>
    </row>
    <row r="164" spans="1:16" x14ac:dyDescent="0.25">
      <c r="A164" s="4">
        <v>44901</v>
      </c>
      <c r="B164" s="2" t="s">
        <v>442</v>
      </c>
      <c r="C164" s="2" t="s">
        <v>443</v>
      </c>
      <c r="D164" t="s">
        <v>53</v>
      </c>
      <c r="E164" s="2" t="s">
        <v>53</v>
      </c>
      <c r="F164" s="2" t="s">
        <v>61</v>
      </c>
      <c r="G164" s="2" t="s">
        <v>62</v>
      </c>
      <c r="H164" s="2" t="s">
        <v>63</v>
      </c>
      <c r="I164" s="2">
        <v>1</v>
      </c>
      <c r="J164" s="2">
        <v>539</v>
      </c>
      <c r="K164" s="2">
        <v>10</v>
      </c>
      <c r="L164" s="2">
        <v>53.9</v>
      </c>
      <c r="M164" s="2">
        <v>485.1</v>
      </c>
      <c r="N164" s="2" t="s">
        <v>44</v>
      </c>
      <c r="O164" s="2">
        <v>5</v>
      </c>
      <c r="P164" s="2" t="s">
        <v>24</v>
      </c>
    </row>
    <row r="165" spans="1:16" x14ac:dyDescent="0.25">
      <c r="A165" s="4">
        <v>44902</v>
      </c>
      <c r="B165" s="2" t="s">
        <v>444</v>
      </c>
      <c r="C165" s="2" t="s">
        <v>445</v>
      </c>
      <c r="D165" t="s">
        <v>59</v>
      </c>
      <c r="E165" s="2" t="s">
        <v>60</v>
      </c>
      <c r="F165" s="2" t="s">
        <v>28</v>
      </c>
      <c r="G165" s="2" t="s">
        <v>29</v>
      </c>
      <c r="H165" s="2" t="s">
        <v>259</v>
      </c>
      <c r="I165" s="2">
        <v>2</v>
      </c>
      <c r="J165" s="2">
        <v>4219</v>
      </c>
      <c r="K165" s="2">
        <v>5</v>
      </c>
      <c r="L165" s="2">
        <v>421.9</v>
      </c>
      <c r="M165" s="2">
        <v>8016.1</v>
      </c>
      <c r="N165" s="2" t="s">
        <v>50</v>
      </c>
      <c r="O165" s="2">
        <v>4</v>
      </c>
      <c r="P165" s="2" t="s">
        <v>24</v>
      </c>
    </row>
    <row r="166" spans="1:16" x14ac:dyDescent="0.25">
      <c r="A166" s="4">
        <v>44903</v>
      </c>
      <c r="B166" s="2" t="s">
        <v>446</v>
      </c>
      <c r="C166" s="2" t="s">
        <v>447</v>
      </c>
      <c r="D166" t="s">
        <v>66</v>
      </c>
      <c r="E166" s="2" t="s">
        <v>19</v>
      </c>
      <c r="F166" s="2" t="s">
        <v>20</v>
      </c>
      <c r="G166" s="2" t="s">
        <v>21</v>
      </c>
      <c r="H166" s="2" t="s">
        <v>49</v>
      </c>
      <c r="I166" s="2">
        <v>1</v>
      </c>
      <c r="J166" s="2">
        <v>6372</v>
      </c>
      <c r="K166" s="2">
        <v>0</v>
      </c>
      <c r="L166" s="2">
        <v>0</v>
      </c>
      <c r="M166" s="2">
        <v>6372</v>
      </c>
      <c r="N166" s="2" t="s">
        <v>44</v>
      </c>
      <c r="O166" s="2">
        <v>6</v>
      </c>
      <c r="P166" s="2" t="s">
        <v>24</v>
      </c>
    </row>
    <row r="167" spans="1:16" x14ac:dyDescent="0.25">
      <c r="A167" s="4">
        <v>44904</v>
      </c>
      <c r="B167" s="2" t="s">
        <v>448</v>
      </c>
      <c r="C167" s="2" t="s">
        <v>449</v>
      </c>
      <c r="D167" t="s">
        <v>47</v>
      </c>
      <c r="E167" s="2" t="s">
        <v>48</v>
      </c>
      <c r="F167" s="2" t="s">
        <v>28</v>
      </c>
      <c r="G167" s="2" t="s">
        <v>188</v>
      </c>
      <c r="H167" s="2" t="s">
        <v>192</v>
      </c>
      <c r="I167" s="2">
        <v>2</v>
      </c>
      <c r="J167" s="2">
        <v>4910</v>
      </c>
      <c r="K167" s="2">
        <v>0</v>
      </c>
      <c r="L167" s="2">
        <v>0</v>
      </c>
      <c r="M167" s="2">
        <v>9820</v>
      </c>
      <c r="N167" s="2" t="s">
        <v>44</v>
      </c>
      <c r="O167" s="2">
        <v>6</v>
      </c>
      <c r="P167" s="2" t="s">
        <v>24</v>
      </c>
    </row>
    <row r="168" spans="1:16" x14ac:dyDescent="0.25">
      <c r="A168" s="4">
        <v>44905</v>
      </c>
      <c r="B168" s="2" t="s">
        <v>450</v>
      </c>
      <c r="C168" s="2" t="s">
        <v>312</v>
      </c>
      <c r="D168" t="s">
        <v>174</v>
      </c>
      <c r="E168" s="2" t="s">
        <v>60</v>
      </c>
      <c r="F168" s="2" t="s">
        <v>20</v>
      </c>
      <c r="G168" s="2" t="s">
        <v>21</v>
      </c>
      <c r="H168" s="2" t="s">
        <v>22</v>
      </c>
      <c r="I168" s="2">
        <v>2</v>
      </c>
      <c r="J168" s="2">
        <v>7811</v>
      </c>
      <c r="K168" s="2">
        <v>20</v>
      </c>
      <c r="L168" s="2">
        <v>3124.4</v>
      </c>
      <c r="M168" s="2">
        <v>12497.6</v>
      </c>
      <c r="N168" s="2" t="s">
        <v>38</v>
      </c>
      <c r="O168" s="2">
        <v>3</v>
      </c>
      <c r="P168" s="2" t="s">
        <v>24</v>
      </c>
    </row>
    <row r="169" spans="1:16" x14ac:dyDescent="0.25">
      <c r="A169" s="4">
        <v>44906</v>
      </c>
      <c r="B169" s="2" t="s">
        <v>451</v>
      </c>
      <c r="C169" s="2" t="s">
        <v>452</v>
      </c>
      <c r="D169" t="s">
        <v>18</v>
      </c>
      <c r="E169" s="2" t="s">
        <v>19</v>
      </c>
      <c r="F169" s="2" t="s">
        <v>61</v>
      </c>
      <c r="G169" s="2" t="s">
        <v>62</v>
      </c>
      <c r="H169" s="2" t="s">
        <v>156</v>
      </c>
      <c r="I169" s="2">
        <v>1</v>
      </c>
      <c r="J169" s="2">
        <v>1185</v>
      </c>
      <c r="K169" s="2">
        <v>5</v>
      </c>
      <c r="L169" s="2">
        <v>59.25</v>
      </c>
      <c r="M169" s="2">
        <v>1125.75</v>
      </c>
      <c r="N169" s="2" t="s">
        <v>56</v>
      </c>
      <c r="O169" s="2">
        <v>3</v>
      </c>
      <c r="P169" s="2" t="s">
        <v>24</v>
      </c>
    </row>
    <row r="170" spans="1:16" x14ac:dyDescent="0.25">
      <c r="A170" s="4">
        <v>44907</v>
      </c>
      <c r="B170" s="2" t="s">
        <v>453</v>
      </c>
      <c r="C170" s="2" t="s">
        <v>381</v>
      </c>
      <c r="D170" t="s">
        <v>66</v>
      </c>
      <c r="E170" s="2" t="s">
        <v>19</v>
      </c>
      <c r="F170" s="2" t="s">
        <v>35</v>
      </c>
      <c r="G170" s="2" t="s">
        <v>67</v>
      </c>
      <c r="H170" s="2" t="s">
        <v>322</v>
      </c>
      <c r="I170" s="2">
        <v>1</v>
      </c>
      <c r="J170" s="2">
        <v>1276</v>
      </c>
      <c r="K170" s="2">
        <v>5</v>
      </c>
      <c r="L170" s="2">
        <v>63.8</v>
      </c>
      <c r="M170" s="2">
        <v>1212.2</v>
      </c>
      <c r="N170" s="2" t="s">
        <v>23</v>
      </c>
      <c r="O170" s="2">
        <v>3</v>
      </c>
      <c r="P170" s="2" t="s">
        <v>24</v>
      </c>
    </row>
    <row r="171" spans="1:16" x14ac:dyDescent="0.25">
      <c r="A171" s="4">
        <v>44908</v>
      </c>
      <c r="B171" s="2" t="s">
        <v>454</v>
      </c>
      <c r="C171" s="2" t="s">
        <v>389</v>
      </c>
      <c r="D171" t="s">
        <v>174</v>
      </c>
      <c r="E171" s="2" t="s">
        <v>60</v>
      </c>
      <c r="F171" s="2" t="s">
        <v>35</v>
      </c>
      <c r="G171" s="2" t="s">
        <v>67</v>
      </c>
      <c r="H171" s="2" t="s">
        <v>322</v>
      </c>
      <c r="I171" s="2">
        <v>1</v>
      </c>
      <c r="J171" s="2">
        <v>13078</v>
      </c>
      <c r="K171" s="2">
        <v>0</v>
      </c>
      <c r="L171" s="2">
        <v>0</v>
      </c>
      <c r="M171" s="2">
        <v>13078</v>
      </c>
      <c r="N171" s="2" t="s">
        <v>50</v>
      </c>
      <c r="O171" s="2">
        <v>2</v>
      </c>
      <c r="P171" s="2" t="s">
        <v>24</v>
      </c>
    </row>
    <row r="172" spans="1:16" x14ac:dyDescent="0.25">
      <c r="A172" s="4">
        <v>44909</v>
      </c>
      <c r="B172" s="2" t="s">
        <v>455</v>
      </c>
      <c r="C172" s="2" t="s">
        <v>312</v>
      </c>
      <c r="D172" t="s">
        <v>41</v>
      </c>
      <c r="E172" s="2" t="s">
        <v>19</v>
      </c>
      <c r="F172" s="2" t="s">
        <v>28</v>
      </c>
      <c r="G172" s="2" t="s">
        <v>90</v>
      </c>
      <c r="H172" s="2" t="s">
        <v>456</v>
      </c>
      <c r="I172" s="2">
        <v>1</v>
      </c>
      <c r="J172" s="2">
        <v>659</v>
      </c>
      <c r="K172" s="2">
        <v>5</v>
      </c>
      <c r="L172" s="2">
        <v>32.950000000000003</v>
      </c>
      <c r="M172" s="2">
        <v>626.04999999999995</v>
      </c>
      <c r="N172" s="2" t="s">
        <v>50</v>
      </c>
      <c r="O172" s="2">
        <v>3</v>
      </c>
      <c r="P172" s="2" t="s">
        <v>24</v>
      </c>
    </row>
    <row r="173" spans="1:16" x14ac:dyDescent="0.25">
      <c r="A173" s="4">
        <v>44910</v>
      </c>
      <c r="B173" s="2" t="s">
        <v>457</v>
      </c>
      <c r="C173" s="2" t="s">
        <v>458</v>
      </c>
      <c r="D173" t="s">
        <v>33</v>
      </c>
      <c r="E173" s="2" t="s">
        <v>34</v>
      </c>
      <c r="F173" s="2" t="s">
        <v>61</v>
      </c>
      <c r="G173" s="2" t="s">
        <v>150</v>
      </c>
      <c r="H173" s="2" t="s">
        <v>359</v>
      </c>
      <c r="I173" s="2">
        <v>1</v>
      </c>
      <c r="J173" s="2">
        <v>237</v>
      </c>
      <c r="K173" s="2">
        <v>0</v>
      </c>
      <c r="L173" s="2">
        <v>0</v>
      </c>
      <c r="M173" s="2">
        <v>237</v>
      </c>
      <c r="N173" s="2" t="s">
        <v>44</v>
      </c>
      <c r="O173" s="2">
        <v>5</v>
      </c>
      <c r="P173" s="2" t="s">
        <v>24</v>
      </c>
    </row>
    <row r="174" spans="1:16" x14ac:dyDescent="0.25">
      <c r="A174" s="4">
        <v>44911</v>
      </c>
      <c r="B174" s="2" t="s">
        <v>459</v>
      </c>
      <c r="C174" s="2" t="s">
        <v>460</v>
      </c>
      <c r="D174" t="s">
        <v>84</v>
      </c>
      <c r="E174" s="2" t="s">
        <v>85</v>
      </c>
      <c r="F174" s="2" t="s">
        <v>71</v>
      </c>
      <c r="G174" s="2" t="s">
        <v>86</v>
      </c>
      <c r="H174" s="2" t="s">
        <v>392</v>
      </c>
      <c r="I174" s="2">
        <v>1</v>
      </c>
      <c r="J174" s="2">
        <v>345</v>
      </c>
      <c r="K174" s="2">
        <v>10</v>
      </c>
      <c r="L174" s="2">
        <v>34.5</v>
      </c>
      <c r="M174" s="2">
        <v>310.5</v>
      </c>
      <c r="N174" s="2" t="s">
        <v>44</v>
      </c>
      <c r="O174" s="2">
        <v>3</v>
      </c>
      <c r="P174" s="2" t="s">
        <v>92</v>
      </c>
    </row>
    <row r="175" spans="1:16" x14ac:dyDescent="0.25">
      <c r="A175" s="4">
        <v>44912</v>
      </c>
      <c r="B175" s="2" t="s">
        <v>461</v>
      </c>
      <c r="C175" s="2" t="s">
        <v>462</v>
      </c>
      <c r="D175" t="s">
        <v>53</v>
      </c>
      <c r="E175" s="2" t="s">
        <v>53</v>
      </c>
      <c r="F175" s="2" t="s">
        <v>71</v>
      </c>
      <c r="G175" s="2" t="s">
        <v>106</v>
      </c>
      <c r="H175" s="2" t="s">
        <v>423</v>
      </c>
      <c r="I175" s="2">
        <v>1</v>
      </c>
      <c r="J175" s="2">
        <v>758</v>
      </c>
      <c r="K175" s="2">
        <v>0</v>
      </c>
      <c r="L175" s="2">
        <v>0</v>
      </c>
      <c r="M175" s="2">
        <v>758</v>
      </c>
      <c r="N175" s="2" t="s">
        <v>50</v>
      </c>
      <c r="O175" s="2">
        <v>4</v>
      </c>
      <c r="P175" s="2" t="s">
        <v>24</v>
      </c>
    </row>
    <row r="176" spans="1:16" x14ac:dyDescent="0.25">
      <c r="A176" s="4">
        <v>44913</v>
      </c>
      <c r="B176" s="2" t="s">
        <v>463</v>
      </c>
      <c r="C176" s="2" t="s">
        <v>268</v>
      </c>
      <c r="D176" t="s">
        <v>47</v>
      </c>
      <c r="E176" s="2" t="s">
        <v>48</v>
      </c>
      <c r="F176" s="2" t="s">
        <v>35</v>
      </c>
      <c r="G176" s="2" t="s">
        <v>130</v>
      </c>
      <c r="H176" s="2" t="s">
        <v>175</v>
      </c>
      <c r="I176" s="2">
        <v>1</v>
      </c>
      <c r="J176" s="2">
        <v>23818</v>
      </c>
      <c r="K176" s="2">
        <v>10</v>
      </c>
      <c r="L176" s="2">
        <v>2381.8000000000002</v>
      </c>
      <c r="M176" s="2">
        <v>21436.2</v>
      </c>
      <c r="N176" s="2" t="s">
        <v>56</v>
      </c>
      <c r="O176" s="2">
        <v>1</v>
      </c>
      <c r="P176" s="2" t="s">
        <v>24</v>
      </c>
    </row>
    <row r="177" spans="1:16" x14ac:dyDescent="0.25">
      <c r="A177" s="4">
        <v>44914</v>
      </c>
      <c r="B177" s="2" t="s">
        <v>464</v>
      </c>
      <c r="C177" s="2" t="s">
        <v>465</v>
      </c>
      <c r="D177" t="s">
        <v>53</v>
      </c>
      <c r="E177" s="2" t="s">
        <v>53</v>
      </c>
      <c r="F177" s="2" t="s">
        <v>35</v>
      </c>
      <c r="G177" s="2" t="s">
        <v>67</v>
      </c>
      <c r="H177" s="2" t="s">
        <v>361</v>
      </c>
      <c r="I177" s="2">
        <v>1</v>
      </c>
      <c r="J177" s="2">
        <v>10610</v>
      </c>
      <c r="K177" s="2">
        <v>0</v>
      </c>
      <c r="L177" s="2">
        <v>0</v>
      </c>
      <c r="M177" s="2">
        <v>10610</v>
      </c>
      <c r="N177" s="2" t="s">
        <v>44</v>
      </c>
      <c r="O177" s="2">
        <v>3</v>
      </c>
      <c r="P177" s="2" t="s">
        <v>24</v>
      </c>
    </row>
    <row r="178" spans="1:16" x14ac:dyDescent="0.25">
      <c r="A178" s="4">
        <v>44915</v>
      </c>
      <c r="B178" s="2" t="s">
        <v>466</v>
      </c>
      <c r="C178" s="2" t="s">
        <v>335</v>
      </c>
      <c r="D178" t="s">
        <v>33</v>
      </c>
      <c r="E178" s="2" t="s">
        <v>34</v>
      </c>
      <c r="F178" s="2" t="s">
        <v>28</v>
      </c>
      <c r="G178" s="2" t="s">
        <v>188</v>
      </c>
      <c r="H178" s="2" t="s">
        <v>292</v>
      </c>
      <c r="I178" s="2">
        <v>1</v>
      </c>
      <c r="J178" s="2">
        <v>3742</v>
      </c>
      <c r="K178" s="2">
        <v>5</v>
      </c>
      <c r="L178" s="2">
        <v>187.1</v>
      </c>
      <c r="M178" s="2">
        <v>3554.9</v>
      </c>
      <c r="N178" s="2" t="s">
        <v>23</v>
      </c>
      <c r="O178" s="2">
        <v>3</v>
      </c>
      <c r="P178" s="2" t="s">
        <v>24</v>
      </c>
    </row>
    <row r="179" spans="1:16" x14ac:dyDescent="0.25">
      <c r="A179" s="4">
        <v>44916</v>
      </c>
      <c r="B179" s="2" t="s">
        <v>467</v>
      </c>
      <c r="C179" s="2" t="s">
        <v>468</v>
      </c>
      <c r="D179" t="s">
        <v>18</v>
      </c>
      <c r="E179" s="2" t="s">
        <v>19</v>
      </c>
      <c r="F179" s="2" t="s">
        <v>20</v>
      </c>
      <c r="G179" s="2" t="s">
        <v>170</v>
      </c>
      <c r="H179" s="2" t="s">
        <v>469</v>
      </c>
      <c r="I179" s="2">
        <v>2</v>
      </c>
      <c r="J179" s="2">
        <v>4985</v>
      </c>
      <c r="K179" s="2">
        <v>10</v>
      </c>
      <c r="L179" s="2">
        <v>997</v>
      </c>
      <c r="M179" s="2">
        <v>8973</v>
      </c>
      <c r="N179" s="2" t="s">
        <v>23</v>
      </c>
      <c r="O179" s="2">
        <v>2</v>
      </c>
      <c r="P179" s="2" t="s">
        <v>24</v>
      </c>
    </row>
    <row r="180" spans="1:16" x14ac:dyDescent="0.25">
      <c r="A180" s="4">
        <v>44917</v>
      </c>
      <c r="B180" s="2" t="s">
        <v>470</v>
      </c>
      <c r="C180" s="2" t="s">
        <v>471</v>
      </c>
      <c r="D180" t="s">
        <v>174</v>
      </c>
      <c r="E180" s="2" t="s">
        <v>60</v>
      </c>
      <c r="F180" s="2" t="s">
        <v>61</v>
      </c>
      <c r="G180" s="2" t="s">
        <v>200</v>
      </c>
      <c r="H180" s="2" t="s">
        <v>226</v>
      </c>
      <c r="I180" s="2">
        <v>1</v>
      </c>
      <c r="J180" s="2">
        <v>655</v>
      </c>
      <c r="K180" s="2">
        <v>5</v>
      </c>
      <c r="L180" s="2">
        <v>32.75</v>
      </c>
      <c r="M180" s="2">
        <v>622.25</v>
      </c>
      <c r="N180" s="2" t="s">
        <v>56</v>
      </c>
      <c r="O180" s="2">
        <v>2</v>
      </c>
      <c r="P180" s="2" t="s">
        <v>24</v>
      </c>
    </row>
    <row r="181" spans="1:16" x14ac:dyDescent="0.25">
      <c r="A181" s="4">
        <v>44918</v>
      </c>
      <c r="B181" s="2" t="s">
        <v>472</v>
      </c>
      <c r="C181" s="2" t="s">
        <v>220</v>
      </c>
      <c r="D181" t="s">
        <v>18</v>
      </c>
      <c r="E181" s="2" t="s">
        <v>19</v>
      </c>
      <c r="F181" s="2" t="s">
        <v>61</v>
      </c>
      <c r="G181" s="2" t="s">
        <v>200</v>
      </c>
      <c r="H181" s="2" t="s">
        <v>473</v>
      </c>
      <c r="I181" s="2">
        <v>1</v>
      </c>
      <c r="J181" s="2">
        <v>1031</v>
      </c>
      <c r="K181" s="2">
        <v>20</v>
      </c>
      <c r="L181" s="2">
        <v>206.2</v>
      </c>
      <c r="M181" s="2">
        <v>824.8</v>
      </c>
      <c r="N181" s="2" t="s">
        <v>23</v>
      </c>
      <c r="O181" s="2">
        <v>2</v>
      </c>
      <c r="P181" s="2" t="s">
        <v>24</v>
      </c>
    </row>
    <row r="182" spans="1:16" x14ac:dyDescent="0.25">
      <c r="A182" s="4">
        <v>44919</v>
      </c>
      <c r="B182" s="2" t="s">
        <v>474</v>
      </c>
      <c r="C182" s="2" t="s">
        <v>475</v>
      </c>
      <c r="D182" t="s">
        <v>66</v>
      </c>
      <c r="E182" s="2" t="s">
        <v>19</v>
      </c>
      <c r="F182" s="2" t="s">
        <v>20</v>
      </c>
      <c r="G182" s="2" t="s">
        <v>21</v>
      </c>
      <c r="H182" s="2" t="s">
        <v>121</v>
      </c>
      <c r="I182" s="2">
        <v>3</v>
      </c>
      <c r="J182" s="2">
        <v>5017</v>
      </c>
      <c r="K182" s="2">
        <v>5</v>
      </c>
      <c r="L182" s="2">
        <v>752.55</v>
      </c>
      <c r="M182" s="2">
        <v>14298.45</v>
      </c>
      <c r="N182" s="2" t="s">
        <v>23</v>
      </c>
      <c r="O182" s="2">
        <v>3</v>
      </c>
      <c r="P182" s="2" t="s">
        <v>24</v>
      </c>
    </row>
    <row r="183" spans="1:16" x14ac:dyDescent="0.25">
      <c r="A183" s="4">
        <v>44920</v>
      </c>
      <c r="B183" s="2" t="s">
        <v>476</v>
      </c>
      <c r="C183" s="2" t="s">
        <v>1478</v>
      </c>
      <c r="D183" t="s">
        <v>41</v>
      </c>
      <c r="E183" s="2" t="s">
        <v>19</v>
      </c>
      <c r="F183" s="2" t="s">
        <v>28</v>
      </c>
      <c r="G183" s="2" t="s">
        <v>29</v>
      </c>
      <c r="H183" s="2" t="s">
        <v>477</v>
      </c>
      <c r="I183" s="2">
        <v>1</v>
      </c>
      <c r="J183" s="2">
        <v>620</v>
      </c>
      <c r="K183" s="2">
        <v>0</v>
      </c>
      <c r="L183" s="2">
        <v>0</v>
      </c>
      <c r="M183" s="2">
        <v>620</v>
      </c>
      <c r="N183" s="2" t="s">
        <v>44</v>
      </c>
      <c r="O183" s="2">
        <v>8</v>
      </c>
      <c r="P183" s="2" t="s">
        <v>92</v>
      </c>
    </row>
    <row r="184" spans="1:16" x14ac:dyDescent="0.25">
      <c r="A184" s="4">
        <v>44921</v>
      </c>
      <c r="B184" s="2" t="s">
        <v>478</v>
      </c>
      <c r="C184" s="2" t="s">
        <v>58</v>
      </c>
      <c r="D184" t="s">
        <v>174</v>
      </c>
      <c r="E184" s="2" t="s">
        <v>60</v>
      </c>
      <c r="F184" s="2" t="s">
        <v>20</v>
      </c>
      <c r="G184" s="2" t="s">
        <v>21</v>
      </c>
      <c r="H184" s="2" t="s">
        <v>49</v>
      </c>
      <c r="I184" s="2">
        <v>1</v>
      </c>
      <c r="J184" s="2">
        <v>905</v>
      </c>
      <c r="K184" s="2">
        <v>5</v>
      </c>
      <c r="L184" s="2">
        <v>45.25</v>
      </c>
      <c r="M184" s="2">
        <v>859.75</v>
      </c>
      <c r="N184" s="2" t="s">
        <v>50</v>
      </c>
      <c r="O184" s="2">
        <v>3</v>
      </c>
      <c r="P184" s="2" t="s">
        <v>24</v>
      </c>
    </row>
    <row r="185" spans="1:16" x14ac:dyDescent="0.25">
      <c r="A185" s="4">
        <v>44922</v>
      </c>
      <c r="B185" s="2" t="s">
        <v>479</v>
      </c>
      <c r="C185" s="2" t="s">
        <v>385</v>
      </c>
      <c r="D185" t="s">
        <v>27</v>
      </c>
      <c r="E185" s="2" t="s">
        <v>19</v>
      </c>
      <c r="F185" s="2" t="s">
        <v>35</v>
      </c>
      <c r="G185" s="2" t="s">
        <v>130</v>
      </c>
      <c r="H185" s="2" t="s">
        <v>131</v>
      </c>
      <c r="I185" s="2">
        <v>1</v>
      </c>
      <c r="J185" s="2">
        <v>6069</v>
      </c>
      <c r="K185" s="2">
        <v>10</v>
      </c>
      <c r="L185" s="2">
        <v>606.9</v>
      </c>
      <c r="M185" s="2">
        <v>5462.1</v>
      </c>
      <c r="N185" s="2" t="s">
        <v>23</v>
      </c>
      <c r="O185" s="2">
        <v>3</v>
      </c>
      <c r="P185" s="2" t="s">
        <v>24</v>
      </c>
    </row>
    <row r="186" spans="1:16" x14ac:dyDescent="0.25">
      <c r="A186" s="4">
        <v>44923</v>
      </c>
      <c r="B186" s="2" t="s">
        <v>480</v>
      </c>
      <c r="C186" s="2" t="s">
        <v>481</v>
      </c>
      <c r="D186" t="s">
        <v>47</v>
      </c>
      <c r="E186" s="2" t="s">
        <v>48</v>
      </c>
      <c r="F186" s="2" t="s">
        <v>61</v>
      </c>
      <c r="G186" s="2" t="s">
        <v>262</v>
      </c>
      <c r="H186" s="2" t="s">
        <v>482</v>
      </c>
      <c r="I186" s="2">
        <v>1</v>
      </c>
      <c r="J186" s="2">
        <v>1212</v>
      </c>
      <c r="K186" s="2">
        <v>5</v>
      </c>
      <c r="L186" s="2">
        <v>60.6</v>
      </c>
      <c r="M186" s="2">
        <v>1151.4000000000001</v>
      </c>
      <c r="N186" s="2" t="s">
        <v>56</v>
      </c>
      <c r="O186" s="2">
        <v>2</v>
      </c>
      <c r="P186" s="2" t="s">
        <v>24</v>
      </c>
    </row>
    <row r="187" spans="1:16" x14ac:dyDescent="0.25">
      <c r="A187" s="4">
        <v>44924</v>
      </c>
      <c r="B187" s="2" t="s">
        <v>483</v>
      </c>
      <c r="C187" s="2" t="s">
        <v>354</v>
      </c>
      <c r="D187" t="s">
        <v>41</v>
      </c>
      <c r="E187" s="2" t="s">
        <v>19</v>
      </c>
      <c r="F187" s="2" t="s">
        <v>71</v>
      </c>
      <c r="G187" s="2" t="s">
        <v>76</v>
      </c>
      <c r="H187" s="2" t="s">
        <v>95</v>
      </c>
      <c r="I187" s="2">
        <v>3</v>
      </c>
      <c r="J187" s="2">
        <v>225</v>
      </c>
      <c r="K187" s="2">
        <v>0</v>
      </c>
      <c r="L187" s="2">
        <v>0</v>
      </c>
      <c r="M187" s="2">
        <v>675</v>
      </c>
      <c r="N187" s="2" t="s">
        <v>44</v>
      </c>
      <c r="O187" s="2">
        <v>4</v>
      </c>
      <c r="P187" s="2" t="s">
        <v>24</v>
      </c>
    </row>
    <row r="188" spans="1:16" x14ac:dyDescent="0.25">
      <c r="A188" s="4">
        <v>44925</v>
      </c>
      <c r="B188" s="2" t="s">
        <v>484</v>
      </c>
      <c r="C188" s="2" t="s">
        <v>485</v>
      </c>
      <c r="D188" t="s">
        <v>27</v>
      </c>
      <c r="E188" s="2" t="s">
        <v>19</v>
      </c>
      <c r="F188" s="2" t="s">
        <v>61</v>
      </c>
      <c r="G188" s="2" t="s">
        <v>200</v>
      </c>
      <c r="H188" s="2" t="s">
        <v>226</v>
      </c>
      <c r="I188" s="2">
        <v>1</v>
      </c>
      <c r="J188" s="2">
        <v>764</v>
      </c>
      <c r="K188" s="2">
        <v>15</v>
      </c>
      <c r="L188" s="2">
        <v>114.6</v>
      </c>
      <c r="M188" s="2">
        <v>649.4</v>
      </c>
      <c r="N188" s="2" t="s">
        <v>23</v>
      </c>
      <c r="O188" s="2">
        <v>4</v>
      </c>
      <c r="P188" s="2" t="s">
        <v>24</v>
      </c>
    </row>
    <row r="189" spans="1:16" x14ac:dyDescent="0.25">
      <c r="A189" s="4">
        <v>44926</v>
      </c>
      <c r="B189" s="2" t="s">
        <v>486</v>
      </c>
      <c r="C189" s="2" t="s">
        <v>487</v>
      </c>
      <c r="D189" t="s">
        <v>174</v>
      </c>
      <c r="E189" s="2" t="s">
        <v>60</v>
      </c>
      <c r="F189" s="2" t="s">
        <v>28</v>
      </c>
      <c r="G189" s="2" t="s">
        <v>29</v>
      </c>
      <c r="H189" s="2" t="s">
        <v>488</v>
      </c>
      <c r="I189" s="2">
        <v>1</v>
      </c>
      <c r="J189" s="2">
        <v>4986</v>
      </c>
      <c r="K189" s="2">
        <v>10</v>
      </c>
      <c r="L189" s="2">
        <v>498.6</v>
      </c>
      <c r="M189" s="2">
        <v>4487.3999999999996</v>
      </c>
      <c r="N189" s="2" t="s">
        <v>56</v>
      </c>
      <c r="O189" s="2">
        <v>2</v>
      </c>
      <c r="P189" s="2" t="s">
        <v>24</v>
      </c>
    </row>
    <row r="190" spans="1:16" x14ac:dyDescent="0.25">
      <c r="A190" s="4">
        <v>44927</v>
      </c>
      <c r="B190" s="2" t="s">
        <v>489</v>
      </c>
      <c r="C190" s="2" t="s">
        <v>490</v>
      </c>
      <c r="D190" t="s">
        <v>59</v>
      </c>
      <c r="E190" s="2" t="s">
        <v>60</v>
      </c>
      <c r="F190" s="2" t="s">
        <v>35</v>
      </c>
      <c r="G190" s="2" t="s">
        <v>124</v>
      </c>
      <c r="H190" s="2" t="s">
        <v>125</v>
      </c>
      <c r="I190" s="2">
        <v>1</v>
      </c>
      <c r="J190" s="2">
        <v>28651</v>
      </c>
      <c r="K190" s="2">
        <v>0</v>
      </c>
      <c r="L190" s="2">
        <v>0</v>
      </c>
      <c r="M190" s="2">
        <v>28651</v>
      </c>
      <c r="N190" s="2" t="s">
        <v>44</v>
      </c>
      <c r="O190" s="2">
        <v>5</v>
      </c>
      <c r="P190" s="2" t="s">
        <v>92</v>
      </c>
    </row>
    <row r="191" spans="1:16" x14ac:dyDescent="0.25">
      <c r="A191" s="4">
        <v>44928</v>
      </c>
      <c r="B191" s="2" t="s">
        <v>491</v>
      </c>
      <c r="C191" s="2" t="s">
        <v>348</v>
      </c>
      <c r="D191" t="s">
        <v>174</v>
      </c>
      <c r="E191" s="2" t="s">
        <v>60</v>
      </c>
      <c r="F191" s="2" t="s">
        <v>20</v>
      </c>
      <c r="G191" s="2" t="s">
        <v>139</v>
      </c>
      <c r="H191" s="2" t="s">
        <v>492</v>
      </c>
      <c r="I191" s="2">
        <v>1</v>
      </c>
      <c r="J191" s="2">
        <v>4623</v>
      </c>
      <c r="K191" s="2">
        <v>5</v>
      </c>
      <c r="L191" s="2">
        <v>231.15</v>
      </c>
      <c r="M191" s="2">
        <v>4391.8500000000004</v>
      </c>
      <c r="N191" s="2" t="s">
        <v>56</v>
      </c>
      <c r="O191" s="2">
        <v>3</v>
      </c>
      <c r="P191" s="2" t="s">
        <v>24</v>
      </c>
    </row>
    <row r="192" spans="1:16" x14ac:dyDescent="0.25">
      <c r="A192" s="4">
        <v>44929</v>
      </c>
      <c r="B192" s="2" t="s">
        <v>493</v>
      </c>
      <c r="C192" s="2" t="s">
        <v>494</v>
      </c>
      <c r="D192" t="s">
        <v>66</v>
      </c>
      <c r="E192" s="2" t="s">
        <v>19</v>
      </c>
      <c r="F192" s="2" t="s">
        <v>71</v>
      </c>
      <c r="G192" s="2" t="s">
        <v>76</v>
      </c>
      <c r="H192" s="2" t="s">
        <v>95</v>
      </c>
      <c r="I192" s="2">
        <v>3</v>
      </c>
      <c r="J192" s="2">
        <v>691</v>
      </c>
      <c r="K192" s="2">
        <v>0</v>
      </c>
      <c r="L192" s="2">
        <v>0</v>
      </c>
      <c r="M192" s="2">
        <v>2073</v>
      </c>
      <c r="N192" s="2" t="s">
        <v>23</v>
      </c>
      <c r="O192" s="2">
        <v>2</v>
      </c>
      <c r="P192" s="2" t="s">
        <v>24</v>
      </c>
    </row>
    <row r="193" spans="1:16" x14ac:dyDescent="0.25">
      <c r="A193" s="4">
        <v>44930</v>
      </c>
      <c r="B193" s="2" t="s">
        <v>495</v>
      </c>
      <c r="C193" s="2" t="s">
        <v>496</v>
      </c>
      <c r="D193" t="s">
        <v>27</v>
      </c>
      <c r="E193" s="2" t="s">
        <v>19</v>
      </c>
      <c r="F193" s="2" t="s">
        <v>61</v>
      </c>
      <c r="G193" s="2" t="s">
        <v>150</v>
      </c>
      <c r="H193" s="2" t="s">
        <v>497</v>
      </c>
      <c r="I193" s="2">
        <v>1</v>
      </c>
      <c r="J193" s="2">
        <v>1146</v>
      </c>
      <c r="K193" s="2">
        <v>5</v>
      </c>
      <c r="L193" s="2">
        <v>57.3</v>
      </c>
      <c r="M193" s="2">
        <v>1088.7</v>
      </c>
      <c r="N193" s="2" t="s">
        <v>44</v>
      </c>
      <c r="O193" s="2">
        <v>8</v>
      </c>
      <c r="P193" s="2" t="s">
        <v>92</v>
      </c>
    </row>
    <row r="194" spans="1:16" x14ac:dyDescent="0.25">
      <c r="A194" s="4">
        <v>44931</v>
      </c>
      <c r="B194" s="2" t="s">
        <v>498</v>
      </c>
      <c r="C194" s="2" t="s">
        <v>426</v>
      </c>
      <c r="D194" t="s">
        <v>84</v>
      </c>
      <c r="E194" s="2" t="s">
        <v>85</v>
      </c>
      <c r="F194" s="2" t="s">
        <v>28</v>
      </c>
      <c r="G194" s="2" t="s">
        <v>90</v>
      </c>
      <c r="H194" s="2" t="s">
        <v>456</v>
      </c>
      <c r="I194" s="2">
        <v>2</v>
      </c>
      <c r="J194" s="2">
        <v>3341</v>
      </c>
      <c r="K194" s="2">
        <v>0</v>
      </c>
      <c r="L194" s="2">
        <v>0</v>
      </c>
      <c r="M194" s="2">
        <v>6682</v>
      </c>
      <c r="N194" s="2" t="s">
        <v>50</v>
      </c>
      <c r="O194" s="2">
        <v>3</v>
      </c>
      <c r="P194" s="2" t="s">
        <v>24</v>
      </c>
    </row>
    <row r="195" spans="1:16" x14ac:dyDescent="0.25">
      <c r="A195" s="4">
        <v>44932</v>
      </c>
      <c r="B195" s="2" t="s">
        <v>499</v>
      </c>
      <c r="C195" s="2" t="s">
        <v>500</v>
      </c>
      <c r="D195" t="s">
        <v>59</v>
      </c>
      <c r="E195" s="2" t="s">
        <v>60</v>
      </c>
      <c r="F195" s="2" t="s">
        <v>61</v>
      </c>
      <c r="G195" s="2" t="s">
        <v>150</v>
      </c>
      <c r="H195" s="2" t="s">
        <v>501</v>
      </c>
      <c r="I195" s="2">
        <v>1</v>
      </c>
      <c r="J195" s="2">
        <v>1708</v>
      </c>
      <c r="K195" s="2">
        <v>0</v>
      </c>
      <c r="L195" s="2">
        <v>0</v>
      </c>
      <c r="M195" s="2">
        <v>1708</v>
      </c>
      <c r="N195" s="2" t="s">
        <v>23</v>
      </c>
      <c r="O195" s="2">
        <v>3</v>
      </c>
      <c r="P195" s="2" t="s">
        <v>24</v>
      </c>
    </row>
    <row r="196" spans="1:16" x14ac:dyDescent="0.25">
      <c r="A196" s="4">
        <v>44933</v>
      </c>
      <c r="B196" s="2" t="s">
        <v>502</v>
      </c>
      <c r="C196" s="2" t="s">
        <v>503</v>
      </c>
      <c r="D196" t="s">
        <v>41</v>
      </c>
      <c r="E196" s="2" t="s">
        <v>19</v>
      </c>
      <c r="F196" s="2" t="s">
        <v>61</v>
      </c>
      <c r="G196" s="2" t="s">
        <v>250</v>
      </c>
      <c r="H196" s="2" t="s">
        <v>504</v>
      </c>
      <c r="I196" s="2">
        <v>1</v>
      </c>
      <c r="J196" s="2">
        <v>1262</v>
      </c>
      <c r="K196" s="2">
        <v>5</v>
      </c>
      <c r="L196" s="2">
        <v>63.1</v>
      </c>
      <c r="M196" s="2">
        <v>1198.9000000000001</v>
      </c>
      <c r="N196" s="2" t="s">
        <v>44</v>
      </c>
      <c r="O196" s="2">
        <v>7</v>
      </c>
      <c r="P196" s="2" t="s">
        <v>24</v>
      </c>
    </row>
    <row r="197" spans="1:16" x14ac:dyDescent="0.25">
      <c r="A197" s="4">
        <v>44934</v>
      </c>
      <c r="B197" s="2" t="s">
        <v>505</v>
      </c>
      <c r="C197" s="2" t="s">
        <v>218</v>
      </c>
      <c r="D197" t="s">
        <v>33</v>
      </c>
      <c r="E197" s="2" t="s">
        <v>34</v>
      </c>
      <c r="F197" s="2" t="s">
        <v>28</v>
      </c>
      <c r="G197" s="2" t="s">
        <v>289</v>
      </c>
      <c r="H197" s="2" t="s">
        <v>506</v>
      </c>
      <c r="I197" s="2">
        <v>1</v>
      </c>
      <c r="J197" s="2">
        <v>1112</v>
      </c>
      <c r="K197" s="2">
        <v>10</v>
      </c>
      <c r="L197" s="2">
        <v>111.2</v>
      </c>
      <c r="M197" s="2">
        <v>1000.8</v>
      </c>
      <c r="N197" s="2" t="s">
        <v>23</v>
      </c>
      <c r="O197" s="2">
        <v>4</v>
      </c>
      <c r="P197" s="2" t="s">
        <v>24</v>
      </c>
    </row>
    <row r="198" spans="1:16" x14ac:dyDescent="0.25">
      <c r="A198" s="4">
        <v>44935</v>
      </c>
      <c r="B198" s="2" t="s">
        <v>507</v>
      </c>
      <c r="C198" s="2" t="s">
        <v>508</v>
      </c>
      <c r="D198" t="s">
        <v>41</v>
      </c>
      <c r="E198" s="2" t="s">
        <v>19</v>
      </c>
      <c r="F198" s="2" t="s">
        <v>61</v>
      </c>
      <c r="G198" s="2" t="s">
        <v>62</v>
      </c>
      <c r="H198" s="2" t="s">
        <v>414</v>
      </c>
      <c r="I198" s="2">
        <v>1</v>
      </c>
      <c r="J198" s="2">
        <v>271</v>
      </c>
      <c r="K198" s="2">
        <v>5</v>
      </c>
      <c r="L198" s="2">
        <v>13.55</v>
      </c>
      <c r="M198" s="2">
        <v>257.45</v>
      </c>
      <c r="N198" s="2" t="s">
        <v>23</v>
      </c>
      <c r="O198" s="2">
        <v>3</v>
      </c>
      <c r="P198" s="2" t="s">
        <v>24</v>
      </c>
    </row>
    <row r="199" spans="1:16" x14ac:dyDescent="0.25">
      <c r="A199" s="4">
        <v>44936</v>
      </c>
      <c r="B199" s="2" t="s">
        <v>509</v>
      </c>
      <c r="C199" s="2" t="s">
        <v>510</v>
      </c>
      <c r="D199" t="s">
        <v>84</v>
      </c>
      <c r="E199" s="2" t="s">
        <v>85</v>
      </c>
      <c r="F199" s="2" t="s">
        <v>71</v>
      </c>
      <c r="G199" s="2" t="s">
        <v>72</v>
      </c>
      <c r="H199" s="2" t="s">
        <v>511</v>
      </c>
      <c r="I199" s="2">
        <v>3</v>
      </c>
      <c r="J199" s="2">
        <v>892</v>
      </c>
      <c r="K199" s="2">
        <v>15</v>
      </c>
      <c r="L199" s="2">
        <v>401.4</v>
      </c>
      <c r="M199" s="2">
        <v>2274.6</v>
      </c>
      <c r="N199" s="2" t="s">
        <v>38</v>
      </c>
      <c r="O199" s="2">
        <v>4</v>
      </c>
      <c r="P199" s="2" t="s">
        <v>24</v>
      </c>
    </row>
    <row r="200" spans="1:16" x14ac:dyDescent="0.25">
      <c r="A200" s="4">
        <v>44937</v>
      </c>
      <c r="B200" s="2" t="s">
        <v>512</v>
      </c>
      <c r="C200" s="2" t="s">
        <v>335</v>
      </c>
      <c r="D200" t="s">
        <v>53</v>
      </c>
      <c r="E200" s="2" t="s">
        <v>53</v>
      </c>
      <c r="F200" s="2" t="s">
        <v>28</v>
      </c>
      <c r="G200" s="2" t="s">
        <v>289</v>
      </c>
      <c r="H200" s="2" t="s">
        <v>439</v>
      </c>
      <c r="I200" s="2">
        <v>2</v>
      </c>
      <c r="J200" s="2">
        <v>4409</v>
      </c>
      <c r="K200" s="2">
        <v>0</v>
      </c>
      <c r="L200" s="2">
        <v>0</v>
      </c>
      <c r="M200" s="2">
        <v>8818</v>
      </c>
      <c r="N200" s="2" t="s">
        <v>50</v>
      </c>
      <c r="O200" s="2">
        <v>2</v>
      </c>
      <c r="P200" s="2" t="s">
        <v>24</v>
      </c>
    </row>
    <row r="201" spans="1:16" x14ac:dyDescent="0.25">
      <c r="A201" s="4">
        <v>44938</v>
      </c>
      <c r="B201" s="2" t="s">
        <v>513</v>
      </c>
      <c r="C201" s="2" t="s">
        <v>127</v>
      </c>
      <c r="D201" t="s">
        <v>59</v>
      </c>
      <c r="E201" s="2" t="s">
        <v>60</v>
      </c>
      <c r="F201" s="2" t="s">
        <v>71</v>
      </c>
      <c r="G201" s="2" t="s">
        <v>72</v>
      </c>
      <c r="H201" s="2" t="s">
        <v>73</v>
      </c>
      <c r="I201" s="2">
        <v>1</v>
      </c>
      <c r="J201" s="2">
        <v>240</v>
      </c>
      <c r="K201" s="2">
        <v>10</v>
      </c>
      <c r="L201" s="2">
        <v>24</v>
      </c>
      <c r="M201" s="2">
        <v>216</v>
      </c>
      <c r="N201" s="2" t="s">
        <v>50</v>
      </c>
      <c r="O201" s="2">
        <v>3</v>
      </c>
      <c r="P201" s="2" t="s">
        <v>24</v>
      </c>
    </row>
    <row r="202" spans="1:16" x14ac:dyDescent="0.25">
      <c r="A202" s="4">
        <v>44939</v>
      </c>
      <c r="B202" s="2" t="s">
        <v>514</v>
      </c>
      <c r="C202" s="2" t="s">
        <v>471</v>
      </c>
      <c r="D202" t="s">
        <v>27</v>
      </c>
      <c r="E202" s="2" t="s">
        <v>19</v>
      </c>
      <c r="F202" s="2" t="s">
        <v>61</v>
      </c>
      <c r="G202" s="2" t="s">
        <v>62</v>
      </c>
      <c r="H202" s="2" t="s">
        <v>515</v>
      </c>
      <c r="I202" s="2">
        <v>2</v>
      </c>
      <c r="J202" s="2">
        <v>1846</v>
      </c>
      <c r="K202" s="2">
        <v>5</v>
      </c>
      <c r="L202" s="2">
        <v>184.6</v>
      </c>
      <c r="M202" s="2">
        <v>3507.4</v>
      </c>
      <c r="N202" s="2" t="s">
        <v>56</v>
      </c>
      <c r="O202" s="2">
        <v>3</v>
      </c>
      <c r="P202" s="2" t="s">
        <v>24</v>
      </c>
    </row>
    <row r="203" spans="1:16" x14ac:dyDescent="0.25">
      <c r="A203" s="4">
        <v>44940</v>
      </c>
      <c r="B203" s="2" t="s">
        <v>516</v>
      </c>
      <c r="C203" s="2" t="s">
        <v>1478</v>
      </c>
      <c r="D203" t="s">
        <v>18</v>
      </c>
      <c r="E203" s="2" t="s">
        <v>19</v>
      </c>
      <c r="F203" s="2" t="s">
        <v>35</v>
      </c>
      <c r="G203" s="2" t="s">
        <v>67</v>
      </c>
      <c r="H203" s="2" t="s">
        <v>364</v>
      </c>
      <c r="I203" s="2">
        <v>1</v>
      </c>
      <c r="J203" s="2">
        <v>10853</v>
      </c>
      <c r="K203" s="2">
        <v>0</v>
      </c>
      <c r="L203" s="2">
        <v>0</v>
      </c>
      <c r="M203" s="2">
        <v>10853</v>
      </c>
      <c r="N203" s="2" t="s">
        <v>56</v>
      </c>
      <c r="O203" s="2">
        <v>1</v>
      </c>
      <c r="P203" s="2" t="s">
        <v>24</v>
      </c>
    </row>
    <row r="204" spans="1:16" x14ac:dyDescent="0.25">
      <c r="A204" s="4">
        <v>44941</v>
      </c>
      <c r="B204" s="2" t="s">
        <v>517</v>
      </c>
      <c r="C204" s="2" t="s">
        <v>273</v>
      </c>
      <c r="D204" t="s">
        <v>174</v>
      </c>
      <c r="E204" s="2" t="s">
        <v>60</v>
      </c>
      <c r="F204" s="2" t="s">
        <v>20</v>
      </c>
      <c r="G204" s="2" t="s">
        <v>54</v>
      </c>
      <c r="H204" s="2" t="s">
        <v>236</v>
      </c>
      <c r="I204" s="2">
        <v>1</v>
      </c>
      <c r="J204" s="2">
        <v>724</v>
      </c>
      <c r="K204" s="2">
        <v>5</v>
      </c>
      <c r="L204" s="2">
        <v>36.200000000000003</v>
      </c>
      <c r="M204" s="2">
        <v>687.8</v>
      </c>
      <c r="N204" s="2" t="s">
        <v>56</v>
      </c>
      <c r="O204" s="2">
        <v>2</v>
      </c>
      <c r="P204" s="2" t="s">
        <v>24</v>
      </c>
    </row>
    <row r="205" spans="1:16" x14ac:dyDescent="0.25">
      <c r="A205" s="4">
        <v>44942</v>
      </c>
      <c r="B205" s="2" t="s">
        <v>518</v>
      </c>
      <c r="C205" s="2" t="s">
        <v>519</v>
      </c>
      <c r="D205" t="s">
        <v>33</v>
      </c>
      <c r="E205" s="2" t="s">
        <v>34</v>
      </c>
      <c r="F205" s="2" t="s">
        <v>35</v>
      </c>
      <c r="G205" s="2" t="s">
        <v>80</v>
      </c>
      <c r="H205" s="2" t="s">
        <v>520</v>
      </c>
      <c r="I205" s="2">
        <v>1</v>
      </c>
      <c r="J205" s="2">
        <v>39407</v>
      </c>
      <c r="K205" s="2">
        <v>0</v>
      </c>
      <c r="L205" s="2">
        <v>0</v>
      </c>
      <c r="M205" s="2">
        <v>39407</v>
      </c>
      <c r="N205" s="2" t="s">
        <v>56</v>
      </c>
      <c r="O205" s="2">
        <v>4</v>
      </c>
      <c r="P205" s="2" t="s">
        <v>24</v>
      </c>
    </row>
    <row r="206" spans="1:16" x14ac:dyDescent="0.25">
      <c r="A206" s="4">
        <v>44943</v>
      </c>
      <c r="B206" s="2" t="s">
        <v>521</v>
      </c>
      <c r="C206" s="2" t="s">
        <v>335</v>
      </c>
      <c r="D206" t="s">
        <v>66</v>
      </c>
      <c r="E206" s="2" t="s">
        <v>19</v>
      </c>
      <c r="F206" s="2" t="s">
        <v>35</v>
      </c>
      <c r="G206" s="2" t="s">
        <v>80</v>
      </c>
      <c r="H206" s="2" t="s">
        <v>520</v>
      </c>
      <c r="I206" s="2">
        <v>1</v>
      </c>
      <c r="J206" s="2">
        <v>7212</v>
      </c>
      <c r="K206" s="2">
        <v>0</v>
      </c>
      <c r="L206" s="2">
        <v>0</v>
      </c>
      <c r="M206" s="2">
        <v>7212</v>
      </c>
      <c r="N206" s="2" t="s">
        <v>44</v>
      </c>
      <c r="O206" s="2">
        <v>7</v>
      </c>
      <c r="P206" s="2" t="s">
        <v>92</v>
      </c>
    </row>
    <row r="207" spans="1:16" x14ac:dyDescent="0.25">
      <c r="A207" s="4">
        <v>44944</v>
      </c>
      <c r="B207" s="2" t="s">
        <v>522</v>
      </c>
      <c r="C207" s="2" t="s">
        <v>523</v>
      </c>
      <c r="D207" t="s">
        <v>33</v>
      </c>
      <c r="E207" s="2" t="s">
        <v>34</v>
      </c>
      <c r="F207" s="2" t="s">
        <v>71</v>
      </c>
      <c r="G207" s="2" t="s">
        <v>86</v>
      </c>
      <c r="H207" s="2" t="s">
        <v>392</v>
      </c>
      <c r="I207" s="2">
        <v>1</v>
      </c>
      <c r="J207" s="2">
        <v>486</v>
      </c>
      <c r="K207" s="2">
        <v>10</v>
      </c>
      <c r="L207" s="2">
        <v>48.6</v>
      </c>
      <c r="M207" s="2">
        <v>437.4</v>
      </c>
      <c r="N207" s="2" t="s">
        <v>23</v>
      </c>
      <c r="O207" s="2">
        <v>2</v>
      </c>
      <c r="P207" s="2" t="s">
        <v>24</v>
      </c>
    </row>
    <row r="208" spans="1:16" x14ac:dyDescent="0.25">
      <c r="A208" s="4">
        <v>44945</v>
      </c>
      <c r="B208" s="2" t="s">
        <v>524</v>
      </c>
      <c r="C208" s="2" t="s">
        <v>525</v>
      </c>
      <c r="D208" t="s">
        <v>53</v>
      </c>
      <c r="E208" s="2" t="s">
        <v>53</v>
      </c>
      <c r="F208" s="2" t="s">
        <v>35</v>
      </c>
      <c r="G208" s="2" t="s">
        <v>67</v>
      </c>
      <c r="H208" s="2" t="s">
        <v>368</v>
      </c>
      <c r="I208" s="2">
        <v>2</v>
      </c>
      <c r="J208" s="2">
        <v>39138</v>
      </c>
      <c r="K208" s="2">
        <v>10</v>
      </c>
      <c r="L208" s="2">
        <v>7827.6</v>
      </c>
      <c r="M208" s="2">
        <v>70448.399999999994</v>
      </c>
      <c r="N208" s="2" t="s">
        <v>23</v>
      </c>
      <c r="O208" s="2">
        <v>3</v>
      </c>
      <c r="P208" s="2" t="s">
        <v>24</v>
      </c>
    </row>
    <row r="209" spans="1:16" x14ac:dyDescent="0.25">
      <c r="A209" s="4">
        <v>44946</v>
      </c>
      <c r="B209" s="2" t="s">
        <v>526</v>
      </c>
      <c r="C209" s="2" t="s">
        <v>329</v>
      </c>
      <c r="D209" t="s">
        <v>18</v>
      </c>
      <c r="E209" s="2" t="s">
        <v>19</v>
      </c>
      <c r="F209" s="2" t="s">
        <v>20</v>
      </c>
      <c r="G209" s="2" t="s">
        <v>21</v>
      </c>
      <c r="H209" s="2" t="s">
        <v>435</v>
      </c>
      <c r="I209" s="2">
        <v>1</v>
      </c>
      <c r="J209" s="2">
        <v>2721</v>
      </c>
      <c r="K209" s="2">
        <v>10</v>
      </c>
      <c r="L209" s="2">
        <v>272.10000000000002</v>
      </c>
      <c r="M209" s="2">
        <v>2448.9</v>
      </c>
      <c r="N209" s="2" t="s">
        <v>44</v>
      </c>
      <c r="O209" s="2">
        <v>3</v>
      </c>
      <c r="P209" s="2" t="s">
        <v>24</v>
      </c>
    </row>
    <row r="210" spans="1:16" x14ac:dyDescent="0.25">
      <c r="A210" s="4">
        <v>44947</v>
      </c>
      <c r="B210" s="2" t="s">
        <v>527</v>
      </c>
      <c r="C210" s="2" t="s">
        <v>528</v>
      </c>
      <c r="D210" t="s">
        <v>27</v>
      </c>
      <c r="E210" s="2" t="s">
        <v>19</v>
      </c>
      <c r="F210" s="2" t="s">
        <v>35</v>
      </c>
      <c r="G210" s="2" t="s">
        <v>130</v>
      </c>
      <c r="H210" s="2" t="s">
        <v>167</v>
      </c>
      <c r="I210" s="2">
        <v>1</v>
      </c>
      <c r="J210" s="2">
        <v>37749</v>
      </c>
      <c r="K210" s="2">
        <v>0</v>
      </c>
      <c r="L210" s="2">
        <v>0</v>
      </c>
      <c r="M210" s="2">
        <v>37749</v>
      </c>
      <c r="N210" s="2" t="s">
        <v>50</v>
      </c>
      <c r="O210" s="2">
        <v>5</v>
      </c>
      <c r="P210" s="2" t="s">
        <v>24</v>
      </c>
    </row>
    <row r="211" spans="1:16" x14ac:dyDescent="0.25">
      <c r="A211" s="4">
        <v>44948</v>
      </c>
      <c r="B211" s="2" t="s">
        <v>529</v>
      </c>
      <c r="C211" s="2" t="s">
        <v>530</v>
      </c>
      <c r="D211" t="s">
        <v>41</v>
      </c>
      <c r="E211" s="2" t="s">
        <v>19</v>
      </c>
      <c r="F211" s="2" t="s">
        <v>35</v>
      </c>
      <c r="G211" s="2" t="s">
        <v>67</v>
      </c>
      <c r="H211" s="2" t="s">
        <v>361</v>
      </c>
      <c r="I211" s="2">
        <v>1</v>
      </c>
      <c r="J211" s="2">
        <v>4462</v>
      </c>
      <c r="K211" s="2">
        <v>10</v>
      </c>
      <c r="L211" s="2">
        <v>446.2</v>
      </c>
      <c r="M211" s="2">
        <v>4015.8</v>
      </c>
      <c r="N211" s="2" t="s">
        <v>44</v>
      </c>
      <c r="O211" s="2">
        <v>6</v>
      </c>
      <c r="P211" s="2" t="s">
        <v>24</v>
      </c>
    </row>
    <row r="212" spans="1:16" x14ac:dyDescent="0.25">
      <c r="A212" s="4">
        <v>44949</v>
      </c>
      <c r="B212" s="2" t="s">
        <v>531</v>
      </c>
      <c r="C212" s="2" t="s">
        <v>348</v>
      </c>
      <c r="D212" t="s">
        <v>27</v>
      </c>
      <c r="E212" s="2" t="s">
        <v>19</v>
      </c>
      <c r="F212" s="2" t="s">
        <v>71</v>
      </c>
      <c r="G212" s="2" t="s">
        <v>76</v>
      </c>
      <c r="H212" s="2" t="s">
        <v>95</v>
      </c>
      <c r="I212" s="2">
        <v>1</v>
      </c>
      <c r="J212" s="2">
        <v>368</v>
      </c>
      <c r="K212" s="2">
        <v>5</v>
      </c>
      <c r="L212" s="2">
        <v>18.399999999999999</v>
      </c>
      <c r="M212" s="2">
        <v>349.6</v>
      </c>
      <c r="N212" s="2" t="s">
        <v>50</v>
      </c>
      <c r="O212" s="2">
        <v>3</v>
      </c>
      <c r="P212" s="2" t="s">
        <v>24</v>
      </c>
    </row>
    <row r="213" spans="1:16" x14ac:dyDescent="0.25">
      <c r="A213" s="4">
        <v>44950</v>
      </c>
      <c r="B213" s="2" t="s">
        <v>532</v>
      </c>
      <c r="C213" s="2" t="s">
        <v>533</v>
      </c>
      <c r="D213" t="s">
        <v>84</v>
      </c>
      <c r="E213" s="2" t="s">
        <v>85</v>
      </c>
      <c r="F213" s="2" t="s">
        <v>61</v>
      </c>
      <c r="G213" s="2" t="s">
        <v>62</v>
      </c>
      <c r="H213" s="2" t="s">
        <v>534</v>
      </c>
      <c r="I213" s="2">
        <v>1</v>
      </c>
      <c r="J213" s="2">
        <v>1403</v>
      </c>
      <c r="K213" s="2">
        <v>0</v>
      </c>
      <c r="L213" s="2">
        <v>0</v>
      </c>
      <c r="M213" s="2">
        <v>1403</v>
      </c>
      <c r="N213" s="2" t="s">
        <v>56</v>
      </c>
      <c r="O213" s="2">
        <v>3</v>
      </c>
      <c r="P213" s="2" t="s">
        <v>24</v>
      </c>
    </row>
    <row r="214" spans="1:16" x14ac:dyDescent="0.25">
      <c r="A214" s="4">
        <v>44951</v>
      </c>
      <c r="B214" s="2" t="s">
        <v>535</v>
      </c>
      <c r="C214" s="2" t="s">
        <v>185</v>
      </c>
      <c r="D214" t="s">
        <v>18</v>
      </c>
      <c r="E214" s="2" t="s">
        <v>19</v>
      </c>
      <c r="F214" s="2" t="s">
        <v>28</v>
      </c>
      <c r="G214" s="2" t="s">
        <v>110</v>
      </c>
      <c r="H214" s="2" t="s">
        <v>317</v>
      </c>
      <c r="I214" s="2">
        <v>1</v>
      </c>
      <c r="J214" s="2">
        <v>4684</v>
      </c>
      <c r="K214" s="2">
        <v>0</v>
      </c>
      <c r="L214" s="2">
        <v>0</v>
      </c>
      <c r="M214" s="2">
        <v>4684</v>
      </c>
      <c r="N214" s="2" t="s">
        <v>23</v>
      </c>
      <c r="O214" s="2">
        <v>3</v>
      </c>
      <c r="P214" s="2" t="s">
        <v>24</v>
      </c>
    </row>
    <row r="215" spans="1:16" x14ac:dyDescent="0.25">
      <c r="A215" s="4">
        <v>44952</v>
      </c>
      <c r="B215" s="2" t="s">
        <v>536</v>
      </c>
      <c r="C215" s="2" t="s">
        <v>537</v>
      </c>
      <c r="D215" t="s">
        <v>18</v>
      </c>
      <c r="E215" s="2" t="s">
        <v>19</v>
      </c>
      <c r="F215" s="2" t="s">
        <v>20</v>
      </c>
      <c r="G215" s="2" t="s">
        <v>170</v>
      </c>
      <c r="H215" s="2" t="s">
        <v>538</v>
      </c>
      <c r="I215" s="2">
        <v>1</v>
      </c>
      <c r="J215" s="2">
        <v>4364</v>
      </c>
      <c r="K215" s="2">
        <v>5</v>
      </c>
      <c r="L215" s="2">
        <v>218.2</v>
      </c>
      <c r="M215" s="2">
        <v>4145.8</v>
      </c>
      <c r="N215" s="2" t="s">
        <v>50</v>
      </c>
      <c r="O215" s="2">
        <v>3</v>
      </c>
      <c r="P215" s="2" t="s">
        <v>24</v>
      </c>
    </row>
    <row r="216" spans="1:16" x14ac:dyDescent="0.25">
      <c r="A216" s="4">
        <v>44953</v>
      </c>
      <c r="B216" s="2" t="s">
        <v>539</v>
      </c>
      <c r="C216" s="2" t="s">
        <v>371</v>
      </c>
      <c r="D216" t="s">
        <v>84</v>
      </c>
      <c r="E216" s="2" t="s">
        <v>85</v>
      </c>
      <c r="F216" s="2" t="s">
        <v>35</v>
      </c>
      <c r="G216" s="2" t="s">
        <v>124</v>
      </c>
      <c r="H216" s="2" t="s">
        <v>399</v>
      </c>
      <c r="I216" s="2">
        <v>1</v>
      </c>
      <c r="J216" s="2">
        <v>33846</v>
      </c>
      <c r="K216" s="2">
        <v>0</v>
      </c>
      <c r="L216" s="2">
        <v>0</v>
      </c>
      <c r="M216" s="2">
        <v>33846</v>
      </c>
      <c r="N216" s="2" t="s">
        <v>50</v>
      </c>
      <c r="O216" s="2">
        <v>2</v>
      </c>
      <c r="P216" s="2" t="s">
        <v>24</v>
      </c>
    </row>
    <row r="217" spans="1:16" x14ac:dyDescent="0.25">
      <c r="A217" s="4">
        <v>44954</v>
      </c>
      <c r="B217" s="2" t="s">
        <v>540</v>
      </c>
      <c r="C217" s="2" t="s">
        <v>541</v>
      </c>
      <c r="D217" t="s">
        <v>18</v>
      </c>
      <c r="E217" s="2" t="s">
        <v>19</v>
      </c>
      <c r="F217" s="2" t="s">
        <v>71</v>
      </c>
      <c r="G217" s="2" t="s">
        <v>106</v>
      </c>
      <c r="H217" s="2" t="s">
        <v>107</v>
      </c>
      <c r="I217" s="2">
        <v>1</v>
      </c>
      <c r="J217" s="2">
        <v>209</v>
      </c>
      <c r="K217" s="2">
        <v>5</v>
      </c>
      <c r="L217" s="2">
        <v>10.45</v>
      </c>
      <c r="M217" s="2">
        <v>198.55</v>
      </c>
      <c r="N217" s="2" t="s">
        <v>23</v>
      </c>
      <c r="O217" s="2">
        <v>3</v>
      </c>
      <c r="P217" s="2" t="s">
        <v>24</v>
      </c>
    </row>
    <row r="218" spans="1:16" x14ac:dyDescent="0.25">
      <c r="A218" s="4">
        <v>44955</v>
      </c>
      <c r="B218" s="2" t="s">
        <v>542</v>
      </c>
      <c r="C218" s="2" t="s">
        <v>541</v>
      </c>
      <c r="D218" t="s">
        <v>53</v>
      </c>
      <c r="E218" s="2" t="s">
        <v>53</v>
      </c>
      <c r="F218" s="2" t="s">
        <v>71</v>
      </c>
      <c r="G218" s="2" t="s">
        <v>114</v>
      </c>
      <c r="H218" s="2" t="s">
        <v>543</v>
      </c>
      <c r="I218" s="2">
        <v>1</v>
      </c>
      <c r="J218" s="2">
        <v>686</v>
      </c>
      <c r="K218" s="2">
        <v>5</v>
      </c>
      <c r="L218" s="2">
        <v>34.299999999999997</v>
      </c>
      <c r="M218" s="2">
        <v>651.70000000000005</v>
      </c>
      <c r="N218" s="2" t="s">
        <v>56</v>
      </c>
      <c r="O218" s="2">
        <v>1</v>
      </c>
      <c r="P218" s="2" t="s">
        <v>24</v>
      </c>
    </row>
    <row r="219" spans="1:16" x14ac:dyDescent="0.25">
      <c r="A219" s="4">
        <v>44956</v>
      </c>
      <c r="B219" s="2" t="s">
        <v>544</v>
      </c>
      <c r="C219" s="2" t="s">
        <v>510</v>
      </c>
      <c r="D219" t="s">
        <v>41</v>
      </c>
      <c r="E219" s="2" t="s">
        <v>19</v>
      </c>
      <c r="F219" s="2" t="s">
        <v>20</v>
      </c>
      <c r="G219" s="2" t="s">
        <v>42</v>
      </c>
      <c r="H219" s="2" t="s">
        <v>43</v>
      </c>
      <c r="I219" s="2">
        <v>1</v>
      </c>
      <c r="J219" s="2">
        <v>6629</v>
      </c>
      <c r="K219" s="2">
        <v>10</v>
      </c>
      <c r="L219" s="2">
        <v>662.9</v>
      </c>
      <c r="M219" s="2">
        <v>5966.1</v>
      </c>
      <c r="N219" s="2" t="s">
        <v>50</v>
      </c>
      <c r="O219" s="2">
        <v>3</v>
      </c>
      <c r="P219" s="2" t="s">
        <v>24</v>
      </c>
    </row>
    <row r="220" spans="1:16" x14ac:dyDescent="0.25">
      <c r="A220" s="4">
        <v>44957</v>
      </c>
      <c r="B220" s="2" t="s">
        <v>545</v>
      </c>
      <c r="C220" s="2" t="s">
        <v>308</v>
      </c>
      <c r="D220" t="s">
        <v>59</v>
      </c>
      <c r="E220" s="2" t="s">
        <v>60</v>
      </c>
      <c r="F220" s="2" t="s">
        <v>35</v>
      </c>
      <c r="G220" s="2" t="s">
        <v>80</v>
      </c>
      <c r="H220" s="2" t="s">
        <v>81</v>
      </c>
      <c r="I220" s="2">
        <v>1</v>
      </c>
      <c r="J220" s="2">
        <v>1128</v>
      </c>
      <c r="K220" s="2">
        <v>5</v>
      </c>
      <c r="L220" s="2">
        <v>56.4</v>
      </c>
      <c r="M220" s="2">
        <v>1071.5999999999999</v>
      </c>
      <c r="N220" s="2" t="s">
        <v>44</v>
      </c>
      <c r="O220" s="2">
        <v>3</v>
      </c>
      <c r="P220" s="2" t="s">
        <v>24</v>
      </c>
    </row>
    <row r="221" spans="1:16" x14ac:dyDescent="0.25">
      <c r="A221" s="4">
        <v>44958</v>
      </c>
      <c r="B221" s="2" t="s">
        <v>546</v>
      </c>
      <c r="C221" s="2" t="s">
        <v>385</v>
      </c>
      <c r="D221" t="s">
        <v>66</v>
      </c>
      <c r="E221" s="2" t="s">
        <v>19</v>
      </c>
      <c r="F221" s="2" t="s">
        <v>35</v>
      </c>
      <c r="G221" s="2" t="s">
        <v>80</v>
      </c>
      <c r="H221" s="2" t="s">
        <v>216</v>
      </c>
      <c r="I221" s="2">
        <v>1</v>
      </c>
      <c r="J221" s="2">
        <v>15669</v>
      </c>
      <c r="K221" s="2">
        <v>5</v>
      </c>
      <c r="L221" s="2">
        <v>783.45</v>
      </c>
      <c r="M221" s="2">
        <v>14885.55</v>
      </c>
      <c r="N221" s="2" t="s">
        <v>44</v>
      </c>
      <c r="O221" s="2">
        <v>6</v>
      </c>
      <c r="P221" s="2" t="s">
        <v>24</v>
      </c>
    </row>
    <row r="222" spans="1:16" x14ac:dyDescent="0.25">
      <c r="A222" s="4">
        <v>44959</v>
      </c>
      <c r="B222" s="2" t="s">
        <v>547</v>
      </c>
      <c r="C222" s="2" t="s">
        <v>548</v>
      </c>
      <c r="D222" t="s">
        <v>33</v>
      </c>
      <c r="E222" s="2" t="s">
        <v>34</v>
      </c>
      <c r="F222" s="2" t="s">
        <v>71</v>
      </c>
      <c r="G222" s="2" t="s">
        <v>86</v>
      </c>
      <c r="H222" s="2" t="s">
        <v>392</v>
      </c>
      <c r="I222" s="2">
        <v>1</v>
      </c>
      <c r="J222" s="2">
        <v>695</v>
      </c>
      <c r="K222" s="2">
        <v>15</v>
      </c>
      <c r="L222" s="2">
        <v>104.25</v>
      </c>
      <c r="M222" s="2">
        <v>590.75</v>
      </c>
      <c r="N222" s="2" t="s">
        <v>50</v>
      </c>
      <c r="O222" s="2">
        <v>4</v>
      </c>
      <c r="P222" s="2" t="s">
        <v>24</v>
      </c>
    </row>
    <row r="223" spans="1:16" x14ac:dyDescent="0.25">
      <c r="A223" s="4">
        <v>44960</v>
      </c>
      <c r="B223" s="2" t="s">
        <v>549</v>
      </c>
      <c r="C223" s="2" t="s">
        <v>550</v>
      </c>
      <c r="D223" t="s">
        <v>66</v>
      </c>
      <c r="E223" s="2" t="s">
        <v>19</v>
      </c>
      <c r="F223" s="2" t="s">
        <v>20</v>
      </c>
      <c r="G223" s="2" t="s">
        <v>21</v>
      </c>
      <c r="H223" s="2" t="s">
        <v>136</v>
      </c>
      <c r="I223" s="2">
        <v>3</v>
      </c>
      <c r="J223" s="2">
        <v>1573</v>
      </c>
      <c r="K223" s="2">
        <v>5</v>
      </c>
      <c r="L223" s="2">
        <v>235.95</v>
      </c>
      <c r="M223" s="2">
        <v>4483.05</v>
      </c>
      <c r="N223" s="2" t="s">
        <v>23</v>
      </c>
      <c r="O223" s="2">
        <v>1</v>
      </c>
      <c r="P223" s="2" t="s">
        <v>24</v>
      </c>
    </row>
    <row r="224" spans="1:16" x14ac:dyDescent="0.25">
      <c r="A224" s="4">
        <v>44961</v>
      </c>
      <c r="B224" s="2" t="s">
        <v>551</v>
      </c>
      <c r="C224" s="2" t="s">
        <v>552</v>
      </c>
      <c r="D224" t="s">
        <v>66</v>
      </c>
      <c r="E224" s="2" t="s">
        <v>19</v>
      </c>
      <c r="F224" s="2" t="s">
        <v>20</v>
      </c>
      <c r="G224" s="2" t="s">
        <v>170</v>
      </c>
      <c r="H224" s="2" t="s">
        <v>538</v>
      </c>
      <c r="I224" s="2">
        <v>2</v>
      </c>
      <c r="J224" s="2">
        <v>6915</v>
      </c>
      <c r="K224" s="2">
        <v>15</v>
      </c>
      <c r="L224" s="2">
        <v>2074.5</v>
      </c>
      <c r="M224" s="2">
        <v>11755.5</v>
      </c>
      <c r="N224" s="2" t="s">
        <v>56</v>
      </c>
      <c r="O224" s="2">
        <v>1</v>
      </c>
      <c r="P224" s="2" t="s">
        <v>24</v>
      </c>
    </row>
    <row r="225" spans="1:16" x14ac:dyDescent="0.25">
      <c r="A225" s="4">
        <v>44962</v>
      </c>
      <c r="B225" s="2" t="s">
        <v>553</v>
      </c>
      <c r="C225" s="2" t="s">
        <v>288</v>
      </c>
      <c r="D225" t="s">
        <v>33</v>
      </c>
      <c r="E225" s="2" t="s">
        <v>34</v>
      </c>
      <c r="F225" s="2" t="s">
        <v>28</v>
      </c>
      <c r="G225" s="2" t="s">
        <v>289</v>
      </c>
      <c r="H225" s="2" t="s">
        <v>554</v>
      </c>
      <c r="I225" s="2">
        <v>1</v>
      </c>
      <c r="J225" s="2">
        <v>2531</v>
      </c>
      <c r="K225" s="2">
        <v>20</v>
      </c>
      <c r="L225" s="2">
        <v>506.2</v>
      </c>
      <c r="M225" s="2">
        <v>2024.8</v>
      </c>
      <c r="N225" s="2" t="s">
        <v>44</v>
      </c>
      <c r="O225" s="2">
        <v>4</v>
      </c>
      <c r="P225" s="2" t="s">
        <v>24</v>
      </c>
    </row>
    <row r="226" spans="1:16" x14ac:dyDescent="0.25">
      <c r="A226" s="4">
        <v>44963</v>
      </c>
      <c r="B226" s="2" t="s">
        <v>555</v>
      </c>
      <c r="C226" s="2" t="s">
        <v>173</v>
      </c>
      <c r="D226" t="s">
        <v>33</v>
      </c>
      <c r="E226" s="2" t="s">
        <v>34</v>
      </c>
      <c r="F226" s="2" t="s">
        <v>28</v>
      </c>
      <c r="G226" s="2" t="s">
        <v>110</v>
      </c>
      <c r="H226" s="2" t="s">
        <v>409</v>
      </c>
      <c r="I226" s="2">
        <v>1</v>
      </c>
      <c r="J226" s="2">
        <v>1470</v>
      </c>
      <c r="K226" s="2">
        <v>5</v>
      </c>
      <c r="L226" s="2">
        <v>73.5</v>
      </c>
      <c r="M226" s="2">
        <v>1396.5</v>
      </c>
      <c r="N226" s="2" t="s">
        <v>56</v>
      </c>
      <c r="O226" s="2">
        <v>3</v>
      </c>
      <c r="P226" s="2" t="s">
        <v>24</v>
      </c>
    </row>
    <row r="227" spans="1:16" x14ac:dyDescent="0.25">
      <c r="A227" s="4">
        <v>44964</v>
      </c>
      <c r="B227" s="2" t="s">
        <v>556</v>
      </c>
      <c r="C227" s="2" t="s">
        <v>557</v>
      </c>
      <c r="D227" t="s">
        <v>33</v>
      </c>
      <c r="E227" s="2" t="s">
        <v>34</v>
      </c>
      <c r="F227" s="2" t="s">
        <v>35</v>
      </c>
      <c r="G227" s="2" t="s">
        <v>67</v>
      </c>
      <c r="H227" s="2" t="s">
        <v>368</v>
      </c>
      <c r="I227" s="2">
        <v>3</v>
      </c>
      <c r="J227" s="2">
        <v>29560</v>
      </c>
      <c r="K227" s="2">
        <v>0</v>
      </c>
      <c r="L227" s="2">
        <v>0</v>
      </c>
      <c r="M227" s="2">
        <v>88680</v>
      </c>
      <c r="N227" s="2" t="s">
        <v>44</v>
      </c>
      <c r="O227" s="2">
        <v>2</v>
      </c>
      <c r="P227" s="2" t="s">
        <v>24</v>
      </c>
    </row>
    <row r="228" spans="1:16" x14ac:dyDescent="0.25">
      <c r="A228" s="4">
        <v>44965</v>
      </c>
      <c r="B228" s="2" t="s">
        <v>558</v>
      </c>
      <c r="C228" s="2" t="s">
        <v>559</v>
      </c>
      <c r="D228" t="s">
        <v>66</v>
      </c>
      <c r="E228" s="2" t="s">
        <v>19</v>
      </c>
      <c r="F228" s="2" t="s">
        <v>35</v>
      </c>
      <c r="G228" s="2" t="s">
        <v>36</v>
      </c>
      <c r="H228" s="2" t="s">
        <v>164</v>
      </c>
      <c r="I228" s="2">
        <v>1</v>
      </c>
      <c r="J228" s="2">
        <v>14571</v>
      </c>
      <c r="K228" s="2">
        <v>15</v>
      </c>
      <c r="L228" s="2">
        <v>2185.65</v>
      </c>
      <c r="M228" s="2">
        <v>12385.35</v>
      </c>
      <c r="N228" s="2" t="s">
        <v>23</v>
      </c>
      <c r="O228" s="2">
        <v>3</v>
      </c>
      <c r="P228" s="2" t="s">
        <v>24</v>
      </c>
    </row>
    <row r="229" spans="1:16" x14ac:dyDescent="0.25">
      <c r="A229" s="4">
        <v>44966</v>
      </c>
      <c r="B229" s="2" t="s">
        <v>560</v>
      </c>
      <c r="C229" s="2" t="s">
        <v>58</v>
      </c>
      <c r="D229" t="s">
        <v>59</v>
      </c>
      <c r="E229" s="2" t="s">
        <v>60</v>
      </c>
      <c r="F229" s="2" t="s">
        <v>71</v>
      </c>
      <c r="G229" s="2" t="s">
        <v>106</v>
      </c>
      <c r="H229" s="2" t="s">
        <v>346</v>
      </c>
      <c r="I229" s="2">
        <v>1</v>
      </c>
      <c r="J229" s="2">
        <v>1366</v>
      </c>
      <c r="K229" s="2">
        <v>15</v>
      </c>
      <c r="L229" s="2">
        <v>204.9</v>
      </c>
      <c r="M229" s="2">
        <v>1161.0999999999999</v>
      </c>
      <c r="N229" s="2" t="s">
        <v>50</v>
      </c>
      <c r="O229" s="2">
        <v>3</v>
      </c>
      <c r="P229" s="2" t="s">
        <v>24</v>
      </c>
    </row>
    <row r="230" spans="1:16" x14ac:dyDescent="0.25">
      <c r="A230" s="4">
        <v>44967</v>
      </c>
      <c r="B230" s="2" t="s">
        <v>561</v>
      </c>
      <c r="C230" s="2" t="s">
        <v>562</v>
      </c>
      <c r="D230" t="s">
        <v>59</v>
      </c>
      <c r="E230" s="2" t="s">
        <v>60</v>
      </c>
      <c r="F230" s="2" t="s">
        <v>20</v>
      </c>
      <c r="G230" s="2" t="s">
        <v>170</v>
      </c>
      <c r="H230" s="2" t="s">
        <v>563</v>
      </c>
      <c r="I230" s="2">
        <v>2</v>
      </c>
      <c r="J230" s="2">
        <v>2934</v>
      </c>
      <c r="K230" s="2">
        <v>0</v>
      </c>
      <c r="L230" s="2">
        <v>0</v>
      </c>
      <c r="M230" s="2">
        <v>5868</v>
      </c>
      <c r="N230" s="2" t="s">
        <v>23</v>
      </c>
      <c r="O230" s="2">
        <v>2</v>
      </c>
      <c r="P230" s="2" t="s">
        <v>24</v>
      </c>
    </row>
    <row r="231" spans="1:16" x14ac:dyDescent="0.25">
      <c r="A231" s="4">
        <v>44968</v>
      </c>
      <c r="B231" s="2" t="s">
        <v>564</v>
      </c>
      <c r="C231" s="2" t="s">
        <v>565</v>
      </c>
      <c r="D231" t="s">
        <v>27</v>
      </c>
      <c r="E231" s="2" t="s">
        <v>19</v>
      </c>
      <c r="F231" s="2" t="s">
        <v>20</v>
      </c>
      <c r="G231" s="2" t="s">
        <v>42</v>
      </c>
      <c r="H231" s="2" t="s">
        <v>43</v>
      </c>
      <c r="I231" s="2">
        <v>3</v>
      </c>
      <c r="J231" s="2">
        <v>5681</v>
      </c>
      <c r="K231" s="2">
        <v>5</v>
      </c>
      <c r="L231" s="2">
        <v>852.15</v>
      </c>
      <c r="M231" s="2">
        <v>16190.85</v>
      </c>
      <c r="N231" s="2" t="s">
        <v>44</v>
      </c>
      <c r="O231" s="2">
        <v>7</v>
      </c>
      <c r="P231" s="2" t="s">
        <v>24</v>
      </c>
    </row>
    <row r="232" spans="1:16" x14ac:dyDescent="0.25">
      <c r="A232" s="4">
        <v>44969</v>
      </c>
      <c r="B232" s="2" t="s">
        <v>566</v>
      </c>
      <c r="C232" s="2" t="s">
        <v>223</v>
      </c>
      <c r="D232" t="s">
        <v>59</v>
      </c>
      <c r="E232" s="2" t="s">
        <v>60</v>
      </c>
      <c r="F232" s="2" t="s">
        <v>20</v>
      </c>
      <c r="G232" s="2" t="s">
        <v>21</v>
      </c>
      <c r="H232" s="2" t="s">
        <v>22</v>
      </c>
      <c r="I232" s="2">
        <v>1</v>
      </c>
      <c r="J232" s="2">
        <v>7787</v>
      </c>
      <c r="K232" s="2">
        <v>10</v>
      </c>
      <c r="L232" s="2">
        <v>778.7</v>
      </c>
      <c r="M232" s="2">
        <v>7008.3</v>
      </c>
      <c r="N232" s="2" t="s">
        <v>50</v>
      </c>
      <c r="O232" s="2">
        <v>3</v>
      </c>
      <c r="P232" s="2" t="s">
        <v>24</v>
      </c>
    </row>
    <row r="233" spans="1:16" x14ac:dyDescent="0.25">
      <c r="A233" s="4">
        <v>44970</v>
      </c>
      <c r="B233" s="2" t="s">
        <v>567</v>
      </c>
      <c r="C233" s="2" t="s">
        <v>462</v>
      </c>
      <c r="D233" t="s">
        <v>53</v>
      </c>
      <c r="E233" s="2" t="s">
        <v>53</v>
      </c>
      <c r="F233" s="2" t="s">
        <v>61</v>
      </c>
      <c r="G233" s="2" t="s">
        <v>250</v>
      </c>
      <c r="H233" s="2" t="s">
        <v>256</v>
      </c>
      <c r="I233" s="2">
        <v>1</v>
      </c>
      <c r="J233" s="2">
        <v>626</v>
      </c>
      <c r="K233" s="2">
        <v>0</v>
      </c>
      <c r="L233" s="2">
        <v>0</v>
      </c>
      <c r="M233" s="2">
        <v>626</v>
      </c>
      <c r="N233" s="2" t="s">
        <v>50</v>
      </c>
      <c r="O233" s="2">
        <v>1</v>
      </c>
      <c r="P233" s="2" t="s">
        <v>24</v>
      </c>
    </row>
    <row r="234" spans="1:16" x14ac:dyDescent="0.25">
      <c r="A234" s="4">
        <v>44971</v>
      </c>
      <c r="B234" s="2" t="s">
        <v>568</v>
      </c>
      <c r="C234" s="2" t="s">
        <v>569</v>
      </c>
      <c r="D234" t="s">
        <v>174</v>
      </c>
      <c r="E234" s="2" t="s">
        <v>60</v>
      </c>
      <c r="F234" s="2" t="s">
        <v>20</v>
      </c>
      <c r="G234" s="2" t="s">
        <v>21</v>
      </c>
      <c r="H234" s="2" t="s">
        <v>49</v>
      </c>
      <c r="I234" s="2">
        <v>1</v>
      </c>
      <c r="J234" s="2">
        <v>6643</v>
      </c>
      <c r="K234" s="2">
        <v>15</v>
      </c>
      <c r="L234" s="2">
        <v>996.45</v>
      </c>
      <c r="M234" s="2">
        <v>5646.55</v>
      </c>
      <c r="N234" s="2" t="s">
        <v>38</v>
      </c>
      <c r="O234" s="2">
        <v>2</v>
      </c>
      <c r="P234" s="2" t="s">
        <v>24</v>
      </c>
    </row>
    <row r="235" spans="1:16" x14ac:dyDescent="0.25">
      <c r="A235" s="4">
        <v>44972</v>
      </c>
      <c r="B235" s="2" t="s">
        <v>570</v>
      </c>
      <c r="C235" s="2" t="s">
        <v>559</v>
      </c>
      <c r="D235" t="s">
        <v>41</v>
      </c>
      <c r="E235" s="2" t="s">
        <v>19</v>
      </c>
      <c r="F235" s="2" t="s">
        <v>35</v>
      </c>
      <c r="G235" s="2" t="s">
        <v>130</v>
      </c>
      <c r="H235" s="2" t="s">
        <v>167</v>
      </c>
      <c r="I235" s="2">
        <v>1</v>
      </c>
      <c r="J235" s="2">
        <v>10822</v>
      </c>
      <c r="K235" s="2">
        <v>10</v>
      </c>
      <c r="L235" s="2">
        <v>1082.2</v>
      </c>
      <c r="M235" s="2">
        <v>9739.7999999999993</v>
      </c>
      <c r="N235" s="2" t="s">
        <v>23</v>
      </c>
      <c r="O235" s="2">
        <v>5</v>
      </c>
      <c r="P235" s="2" t="s">
        <v>24</v>
      </c>
    </row>
    <row r="236" spans="1:16" x14ac:dyDescent="0.25">
      <c r="A236" s="4">
        <v>44973</v>
      </c>
      <c r="B236" s="2" t="s">
        <v>571</v>
      </c>
      <c r="C236" s="2" t="s">
        <v>352</v>
      </c>
      <c r="D236" t="s">
        <v>53</v>
      </c>
      <c r="E236" s="2" t="s">
        <v>53</v>
      </c>
      <c r="F236" s="2" t="s">
        <v>71</v>
      </c>
      <c r="G236" s="2" t="s">
        <v>76</v>
      </c>
      <c r="H236" s="2" t="s">
        <v>181</v>
      </c>
      <c r="I236" s="2">
        <v>1</v>
      </c>
      <c r="J236" s="2">
        <v>53</v>
      </c>
      <c r="K236" s="2">
        <v>15</v>
      </c>
      <c r="L236" s="2">
        <v>7.95</v>
      </c>
      <c r="M236" s="2">
        <v>45.05</v>
      </c>
      <c r="N236" s="2" t="s">
        <v>44</v>
      </c>
      <c r="O236" s="2">
        <v>3</v>
      </c>
      <c r="P236" s="2" t="s">
        <v>24</v>
      </c>
    </row>
    <row r="237" spans="1:16" x14ac:dyDescent="0.25">
      <c r="A237" s="4">
        <v>44974</v>
      </c>
      <c r="B237" s="2" t="s">
        <v>572</v>
      </c>
      <c r="C237" s="2" t="s">
        <v>573</v>
      </c>
      <c r="D237" t="s">
        <v>174</v>
      </c>
      <c r="E237" s="2" t="s">
        <v>60</v>
      </c>
      <c r="F237" s="2" t="s">
        <v>71</v>
      </c>
      <c r="G237" s="2" t="s">
        <v>72</v>
      </c>
      <c r="H237" s="2" t="s">
        <v>511</v>
      </c>
      <c r="I237" s="2">
        <v>1</v>
      </c>
      <c r="J237" s="2">
        <v>338</v>
      </c>
      <c r="K237" s="2">
        <v>5</v>
      </c>
      <c r="L237" s="2">
        <v>16.899999999999999</v>
      </c>
      <c r="M237" s="2">
        <v>321.10000000000002</v>
      </c>
      <c r="N237" s="2" t="s">
        <v>23</v>
      </c>
      <c r="O237" s="2">
        <v>2</v>
      </c>
      <c r="P237" s="2" t="s">
        <v>24</v>
      </c>
    </row>
    <row r="238" spans="1:16" x14ac:dyDescent="0.25">
      <c r="A238" s="4">
        <v>44975</v>
      </c>
      <c r="B238" s="2" t="s">
        <v>574</v>
      </c>
      <c r="C238" s="2" t="s">
        <v>575</v>
      </c>
      <c r="D238" t="s">
        <v>33</v>
      </c>
      <c r="E238" s="2" t="s">
        <v>34</v>
      </c>
      <c r="F238" s="2" t="s">
        <v>20</v>
      </c>
      <c r="G238" s="2" t="s">
        <v>170</v>
      </c>
      <c r="H238" s="2" t="s">
        <v>286</v>
      </c>
      <c r="I238" s="2">
        <v>1</v>
      </c>
      <c r="J238" s="2">
        <v>3171</v>
      </c>
      <c r="K238" s="2">
        <v>10</v>
      </c>
      <c r="L238" s="2">
        <v>317.10000000000002</v>
      </c>
      <c r="M238" s="2">
        <v>2853.9</v>
      </c>
      <c r="N238" s="2" t="s">
        <v>23</v>
      </c>
      <c r="O238" s="2">
        <v>2</v>
      </c>
      <c r="P238" s="2" t="s">
        <v>24</v>
      </c>
    </row>
    <row r="239" spans="1:16" x14ac:dyDescent="0.25">
      <c r="A239" s="4">
        <v>44976</v>
      </c>
      <c r="B239" s="2" t="s">
        <v>576</v>
      </c>
      <c r="C239" s="2" t="s">
        <v>575</v>
      </c>
      <c r="D239" t="s">
        <v>59</v>
      </c>
      <c r="E239" s="2" t="s">
        <v>60</v>
      </c>
      <c r="F239" s="2" t="s">
        <v>61</v>
      </c>
      <c r="G239" s="2" t="s">
        <v>150</v>
      </c>
      <c r="H239" s="2" t="s">
        <v>359</v>
      </c>
      <c r="I239" s="2">
        <v>1</v>
      </c>
      <c r="J239" s="2">
        <v>1919</v>
      </c>
      <c r="K239" s="2">
        <v>10</v>
      </c>
      <c r="L239" s="2">
        <v>191.9</v>
      </c>
      <c r="M239" s="2">
        <v>1727.1</v>
      </c>
      <c r="N239" s="2" t="s">
        <v>56</v>
      </c>
      <c r="O239" s="2">
        <v>2</v>
      </c>
      <c r="P239" s="2" t="s">
        <v>24</v>
      </c>
    </row>
    <row r="240" spans="1:16" x14ac:dyDescent="0.25">
      <c r="A240" s="4">
        <v>44977</v>
      </c>
      <c r="B240" s="2" t="s">
        <v>577</v>
      </c>
      <c r="C240" s="2" t="s">
        <v>578</v>
      </c>
      <c r="D240" t="s">
        <v>84</v>
      </c>
      <c r="E240" s="2" t="s">
        <v>85</v>
      </c>
      <c r="F240" s="2" t="s">
        <v>35</v>
      </c>
      <c r="G240" s="2" t="s">
        <v>130</v>
      </c>
      <c r="H240" s="2" t="s">
        <v>167</v>
      </c>
      <c r="I240" s="2">
        <v>3</v>
      </c>
      <c r="J240" s="2">
        <v>5362</v>
      </c>
      <c r="K240" s="2">
        <v>0</v>
      </c>
      <c r="L240" s="2">
        <v>0</v>
      </c>
      <c r="M240" s="2">
        <v>16086</v>
      </c>
      <c r="N240" s="2" t="s">
        <v>23</v>
      </c>
      <c r="O240" s="2">
        <v>4</v>
      </c>
      <c r="P240" s="2" t="s">
        <v>24</v>
      </c>
    </row>
    <row r="241" spans="1:16" x14ac:dyDescent="0.25">
      <c r="A241" s="4">
        <v>44978</v>
      </c>
      <c r="B241" s="2" t="s">
        <v>579</v>
      </c>
      <c r="C241" s="2" t="s">
        <v>358</v>
      </c>
      <c r="D241" t="s">
        <v>41</v>
      </c>
      <c r="E241" s="2" t="s">
        <v>19</v>
      </c>
      <c r="F241" s="2" t="s">
        <v>71</v>
      </c>
      <c r="G241" s="2" t="s">
        <v>106</v>
      </c>
      <c r="H241" s="2" t="s">
        <v>346</v>
      </c>
      <c r="I241" s="2">
        <v>1</v>
      </c>
      <c r="J241" s="2">
        <v>257</v>
      </c>
      <c r="K241" s="2">
        <v>5</v>
      </c>
      <c r="L241" s="2">
        <v>12.85</v>
      </c>
      <c r="M241" s="2">
        <v>244.15</v>
      </c>
      <c r="N241" s="2" t="s">
        <v>38</v>
      </c>
      <c r="O241" s="2">
        <v>2</v>
      </c>
      <c r="P241" s="2" t="s">
        <v>24</v>
      </c>
    </row>
    <row r="242" spans="1:16" x14ac:dyDescent="0.25">
      <c r="A242" s="4">
        <v>44979</v>
      </c>
      <c r="B242" s="2" t="s">
        <v>580</v>
      </c>
      <c r="C242" s="2" t="s">
        <v>276</v>
      </c>
      <c r="D242" t="s">
        <v>84</v>
      </c>
      <c r="E242" s="2" t="s">
        <v>85</v>
      </c>
      <c r="F242" s="2" t="s">
        <v>20</v>
      </c>
      <c r="G242" s="2" t="s">
        <v>139</v>
      </c>
      <c r="H242" s="2" t="s">
        <v>492</v>
      </c>
      <c r="I242" s="2">
        <v>1</v>
      </c>
      <c r="J242" s="2">
        <v>7180</v>
      </c>
      <c r="K242" s="2">
        <v>0</v>
      </c>
      <c r="L242" s="2">
        <v>0</v>
      </c>
      <c r="M242" s="2">
        <v>7180</v>
      </c>
      <c r="N242" s="2" t="s">
        <v>23</v>
      </c>
      <c r="O242" s="2">
        <v>1</v>
      </c>
      <c r="P242" s="2" t="s">
        <v>24</v>
      </c>
    </row>
    <row r="243" spans="1:16" x14ac:dyDescent="0.25">
      <c r="A243" s="4">
        <v>44980</v>
      </c>
      <c r="B243" s="2" t="s">
        <v>581</v>
      </c>
      <c r="C243" s="2" t="s">
        <v>582</v>
      </c>
      <c r="D243" t="s">
        <v>53</v>
      </c>
      <c r="E243" s="2" t="s">
        <v>53</v>
      </c>
      <c r="F243" s="2" t="s">
        <v>35</v>
      </c>
      <c r="G243" s="2" t="s">
        <v>67</v>
      </c>
      <c r="H243" s="2" t="s">
        <v>368</v>
      </c>
      <c r="I243" s="2">
        <v>1</v>
      </c>
      <c r="J243" s="2">
        <v>19624</v>
      </c>
      <c r="K243" s="2">
        <v>5</v>
      </c>
      <c r="L243" s="2">
        <v>981.2</v>
      </c>
      <c r="M243" s="2">
        <v>18642.8</v>
      </c>
      <c r="N243" s="2" t="s">
        <v>50</v>
      </c>
      <c r="O243" s="2">
        <v>2</v>
      </c>
      <c r="P243" s="2" t="s">
        <v>24</v>
      </c>
    </row>
    <row r="244" spans="1:16" x14ac:dyDescent="0.25">
      <c r="A244" s="4">
        <v>44981</v>
      </c>
      <c r="B244" s="2" t="s">
        <v>583</v>
      </c>
      <c r="C244" s="2" t="s">
        <v>123</v>
      </c>
      <c r="D244" t="s">
        <v>33</v>
      </c>
      <c r="E244" s="2" t="s">
        <v>34</v>
      </c>
      <c r="F244" s="2" t="s">
        <v>71</v>
      </c>
      <c r="G244" s="2" t="s">
        <v>106</v>
      </c>
      <c r="H244" s="2" t="s">
        <v>107</v>
      </c>
      <c r="I244" s="2">
        <v>1</v>
      </c>
      <c r="J244" s="2">
        <v>141</v>
      </c>
      <c r="K244" s="2">
        <v>0</v>
      </c>
      <c r="L244" s="2">
        <v>0</v>
      </c>
      <c r="M244" s="2">
        <v>141</v>
      </c>
      <c r="N244" s="2" t="s">
        <v>50</v>
      </c>
      <c r="O244" s="2">
        <v>2</v>
      </c>
      <c r="P244" s="2" t="s">
        <v>24</v>
      </c>
    </row>
    <row r="245" spans="1:16" x14ac:dyDescent="0.25">
      <c r="A245" s="4">
        <v>44982</v>
      </c>
      <c r="B245" s="2" t="s">
        <v>584</v>
      </c>
      <c r="C245" s="2" t="s">
        <v>240</v>
      </c>
      <c r="D245" t="s">
        <v>33</v>
      </c>
      <c r="E245" s="2" t="s">
        <v>34</v>
      </c>
      <c r="F245" s="2" t="s">
        <v>35</v>
      </c>
      <c r="G245" s="2" t="s">
        <v>130</v>
      </c>
      <c r="H245" s="2" t="s">
        <v>131</v>
      </c>
      <c r="I245" s="2">
        <v>1</v>
      </c>
      <c r="J245" s="2">
        <v>39148</v>
      </c>
      <c r="K245" s="2">
        <v>15</v>
      </c>
      <c r="L245" s="2">
        <v>5872.2</v>
      </c>
      <c r="M245" s="2">
        <v>33275.800000000003</v>
      </c>
      <c r="N245" s="2" t="s">
        <v>50</v>
      </c>
      <c r="O245" s="2">
        <v>3</v>
      </c>
      <c r="P245" s="2" t="s">
        <v>24</v>
      </c>
    </row>
    <row r="246" spans="1:16" x14ac:dyDescent="0.25">
      <c r="A246" s="4">
        <v>44983</v>
      </c>
      <c r="B246" s="2" t="s">
        <v>585</v>
      </c>
      <c r="C246" s="2" t="s">
        <v>586</v>
      </c>
      <c r="D246" t="s">
        <v>53</v>
      </c>
      <c r="E246" s="2" t="s">
        <v>53</v>
      </c>
      <c r="F246" s="2" t="s">
        <v>61</v>
      </c>
      <c r="G246" s="2" t="s">
        <v>200</v>
      </c>
      <c r="H246" s="2" t="s">
        <v>587</v>
      </c>
      <c r="I246" s="2">
        <v>1</v>
      </c>
      <c r="J246" s="2">
        <v>1994</v>
      </c>
      <c r="K246" s="2">
        <v>15</v>
      </c>
      <c r="L246" s="2">
        <v>299.10000000000002</v>
      </c>
      <c r="M246" s="2">
        <v>1694.9</v>
      </c>
      <c r="N246" s="2" t="s">
        <v>56</v>
      </c>
      <c r="O246" s="2">
        <v>3</v>
      </c>
      <c r="P246" s="2" t="s">
        <v>24</v>
      </c>
    </row>
    <row r="247" spans="1:16" x14ac:dyDescent="0.25">
      <c r="A247" s="4">
        <v>44984</v>
      </c>
      <c r="B247" s="2" t="s">
        <v>588</v>
      </c>
      <c r="C247" s="2" t="s">
        <v>197</v>
      </c>
      <c r="D247" t="s">
        <v>174</v>
      </c>
      <c r="E247" s="2" t="s">
        <v>60</v>
      </c>
      <c r="F247" s="2" t="s">
        <v>28</v>
      </c>
      <c r="G247" s="2" t="s">
        <v>90</v>
      </c>
      <c r="H247" s="2" t="s">
        <v>333</v>
      </c>
      <c r="I247" s="2">
        <v>1</v>
      </c>
      <c r="J247" s="2">
        <v>1041</v>
      </c>
      <c r="K247" s="2">
        <v>20</v>
      </c>
      <c r="L247" s="2">
        <v>208.2</v>
      </c>
      <c r="M247" s="2">
        <v>832.8</v>
      </c>
      <c r="N247" s="2" t="s">
        <v>56</v>
      </c>
      <c r="O247" s="2">
        <v>4</v>
      </c>
      <c r="P247" s="2" t="s">
        <v>24</v>
      </c>
    </row>
    <row r="248" spans="1:16" x14ac:dyDescent="0.25">
      <c r="A248" s="4">
        <v>44985</v>
      </c>
      <c r="B248" s="2" t="s">
        <v>589</v>
      </c>
      <c r="C248" s="2" t="s">
        <v>590</v>
      </c>
      <c r="D248" t="s">
        <v>33</v>
      </c>
      <c r="E248" s="2" t="s">
        <v>34</v>
      </c>
      <c r="F248" s="2" t="s">
        <v>61</v>
      </c>
      <c r="G248" s="2" t="s">
        <v>250</v>
      </c>
      <c r="H248" s="2" t="s">
        <v>591</v>
      </c>
      <c r="I248" s="2">
        <v>1</v>
      </c>
      <c r="J248" s="2">
        <v>1938</v>
      </c>
      <c r="K248" s="2">
        <v>10</v>
      </c>
      <c r="L248" s="2">
        <v>193.8</v>
      </c>
      <c r="M248" s="2">
        <v>1744.2</v>
      </c>
      <c r="N248" s="2" t="s">
        <v>56</v>
      </c>
      <c r="O248" s="2">
        <v>3</v>
      </c>
      <c r="P248" s="2" t="s">
        <v>24</v>
      </c>
    </row>
    <row r="249" spans="1:16" x14ac:dyDescent="0.25">
      <c r="A249" s="4">
        <v>44986</v>
      </c>
      <c r="B249" s="2" t="s">
        <v>592</v>
      </c>
      <c r="C249" s="2" t="s">
        <v>17</v>
      </c>
      <c r="D249" t="s">
        <v>59</v>
      </c>
      <c r="E249" s="2" t="s">
        <v>60</v>
      </c>
      <c r="F249" s="2" t="s">
        <v>28</v>
      </c>
      <c r="G249" s="2" t="s">
        <v>90</v>
      </c>
      <c r="H249" s="2" t="s">
        <v>281</v>
      </c>
      <c r="I249" s="2">
        <v>1</v>
      </c>
      <c r="J249" s="2">
        <v>1265</v>
      </c>
      <c r="K249" s="2">
        <v>10</v>
      </c>
      <c r="L249" s="2">
        <v>126.5</v>
      </c>
      <c r="M249" s="2">
        <v>1138.5</v>
      </c>
      <c r="N249" s="2" t="s">
        <v>44</v>
      </c>
      <c r="O249" s="2">
        <v>5</v>
      </c>
      <c r="P249" s="2" t="s">
        <v>24</v>
      </c>
    </row>
    <row r="250" spans="1:16" x14ac:dyDescent="0.25">
      <c r="A250" s="4">
        <v>44987</v>
      </c>
      <c r="B250" s="2" t="s">
        <v>593</v>
      </c>
      <c r="C250" s="2" t="s">
        <v>594</v>
      </c>
      <c r="D250" t="s">
        <v>41</v>
      </c>
      <c r="E250" s="2" t="s">
        <v>19</v>
      </c>
      <c r="F250" s="2" t="s">
        <v>71</v>
      </c>
      <c r="G250" s="2" t="s">
        <v>106</v>
      </c>
      <c r="H250" s="2" t="s">
        <v>346</v>
      </c>
      <c r="I250" s="2">
        <v>1</v>
      </c>
      <c r="J250" s="2">
        <v>1444</v>
      </c>
      <c r="K250" s="2">
        <v>10</v>
      </c>
      <c r="L250" s="2">
        <v>144.4</v>
      </c>
      <c r="M250" s="2">
        <v>1299.5999999999999</v>
      </c>
      <c r="N250" s="2" t="s">
        <v>23</v>
      </c>
      <c r="O250" s="2">
        <v>4</v>
      </c>
      <c r="P250" s="2" t="s">
        <v>24</v>
      </c>
    </row>
    <row r="251" spans="1:16" x14ac:dyDescent="0.25">
      <c r="A251" s="4">
        <v>44988</v>
      </c>
      <c r="B251" s="2" t="s">
        <v>595</v>
      </c>
      <c r="C251" s="2" t="s">
        <v>596</v>
      </c>
      <c r="D251" t="s">
        <v>18</v>
      </c>
      <c r="E251" s="2" t="s">
        <v>19</v>
      </c>
      <c r="F251" s="2" t="s">
        <v>61</v>
      </c>
      <c r="G251" s="2" t="s">
        <v>200</v>
      </c>
      <c r="H251" s="2" t="s">
        <v>201</v>
      </c>
      <c r="I251" s="2">
        <v>1</v>
      </c>
      <c r="J251" s="2">
        <v>1876</v>
      </c>
      <c r="K251" s="2">
        <v>15</v>
      </c>
      <c r="L251" s="2">
        <v>281.39999999999998</v>
      </c>
      <c r="M251" s="2">
        <v>1594.6</v>
      </c>
      <c r="N251" s="2" t="s">
        <v>56</v>
      </c>
      <c r="O251" s="2">
        <v>5</v>
      </c>
      <c r="P251" s="2" t="s">
        <v>24</v>
      </c>
    </row>
    <row r="252" spans="1:16" x14ac:dyDescent="0.25">
      <c r="A252" s="4">
        <v>44989</v>
      </c>
      <c r="B252" s="2" t="s">
        <v>597</v>
      </c>
      <c r="C252" s="2" t="s">
        <v>598</v>
      </c>
      <c r="D252" t="s">
        <v>84</v>
      </c>
      <c r="E252" s="2" t="s">
        <v>85</v>
      </c>
      <c r="F252" s="2" t="s">
        <v>61</v>
      </c>
      <c r="G252" s="2" t="s">
        <v>200</v>
      </c>
      <c r="H252" s="2" t="s">
        <v>201</v>
      </c>
      <c r="I252" s="2">
        <v>2</v>
      </c>
      <c r="J252" s="2">
        <v>582</v>
      </c>
      <c r="K252" s="2">
        <v>10</v>
      </c>
      <c r="L252" s="2">
        <v>116.4</v>
      </c>
      <c r="M252" s="2">
        <v>1047.5999999999999</v>
      </c>
      <c r="N252" s="2" t="s">
        <v>44</v>
      </c>
      <c r="O252" s="2">
        <v>5</v>
      </c>
      <c r="P252" s="2" t="s">
        <v>24</v>
      </c>
    </row>
    <row r="253" spans="1:16" x14ac:dyDescent="0.25">
      <c r="A253" s="4">
        <v>44990</v>
      </c>
      <c r="B253" s="2" t="s">
        <v>599</v>
      </c>
      <c r="C253" s="2" t="s">
        <v>326</v>
      </c>
      <c r="D253" t="s">
        <v>33</v>
      </c>
      <c r="E253" s="2" t="s">
        <v>34</v>
      </c>
      <c r="F253" s="2" t="s">
        <v>20</v>
      </c>
      <c r="G253" s="2" t="s">
        <v>42</v>
      </c>
      <c r="H253" s="2" t="s">
        <v>133</v>
      </c>
      <c r="I253" s="2">
        <v>1</v>
      </c>
      <c r="J253" s="2">
        <v>1723</v>
      </c>
      <c r="K253" s="2">
        <v>15</v>
      </c>
      <c r="L253" s="2">
        <v>258.45</v>
      </c>
      <c r="M253" s="2">
        <v>1464.55</v>
      </c>
      <c r="N253" s="2" t="s">
        <v>23</v>
      </c>
      <c r="O253" s="2">
        <v>2</v>
      </c>
      <c r="P253" s="2" t="s">
        <v>24</v>
      </c>
    </row>
    <row r="254" spans="1:16" x14ac:dyDescent="0.25">
      <c r="A254" s="4">
        <v>44991</v>
      </c>
      <c r="B254" s="2" t="s">
        <v>600</v>
      </c>
      <c r="C254" s="2" t="s">
        <v>601</v>
      </c>
      <c r="D254" t="s">
        <v>84</v>
      </c>
      <c r="E254" s="2" t="s">
        <v>85</v>
      </c>
      <c r="F254" s="2" t="s">
        <v>20</v>
      </c>
      <c r="G254" s="2" t="s">
        <v>170</v>
      </c>
      <c r="H254" s="2" t="s">
        <v>563</v>
      </c>
      <c r="I254" s="2">
        <v>1</v>
      </c>
      <c r="J254" s="2">
        <v>2281</v>
      </c>
      <c r="K254" s="2">
        <v>5</v>
      </c>
      <c r="L254" s="2">
        <v>114.05</v>
      </c>
      <c r="M254" s="2">
        <v>2166.9499999999998</v>
      </c>
      <c r="N254" s="2" t="s">
        <v>23</v>
      </c>
      <c r="O254" s="2">
        <v>4</v>
      </c>
      <c r="P254" s="2" t="s">
        <v>24</v>
      </c>
    </row>
    <row r="255" spans="1:16" x14ac:dyDescent="0.25">
      <c r="A255" s="4">
        <v>44992</v>
      </c>
      <c r="B255" s="2" t="s">
        <v>602</v>
      </c>
      <c r="C255" s="2" t="s">
        <v>603</v>
      </c>
      <c r="D255" t="s">
        <v>47</v>
      </c>
      <c r="E255" s="2" t="s">
        <v>48</v>
      </c>
      <c r="F255" s="2" t="s">
        <v>20</v>
      </c>
      <c r="G255" s="2" t="s">
        <v>21</v>
      </c>
      <c r="H255" s="2" t="s">
        <v>49</v>
      </c>
      <c r="I255" s="2">
        <v>2</v>
      </c>
      <c r="J255" s="2">
        <v>524</v>
      </c>
      <c r="K255" s="2">
        <v>0</v>
      </c>
      <c r="L255" s="2">
        <v>0</v>
      </c>
      <c r="M255" s="2">
        <v>1048</v>
      </c>
      <c r="N255" s="2" t="s">
        <v>56</v>
      </c>
      <c r="O255" s="2">
        <v>5</v>
      </c>
      <c r="P255" s="2" t="s">
        <v>24</v>
      </c>
    </row>
    <row r="256" spans="1:16" x14ac:dyDescent="0.25">
      <c r="A256" s="4">
        <v>44993</v>
      </c>
      <c r="B256" s="2" t="s">
        <v>604</v>
      </c>
      <c r="C256" s="2" t="s">
        <v>605</v>
      </c>
      <c r="D256" t="s">
        <v>53</v>
      </c>
      <c r="E256" s="2" t="s">
        <v>53</v>
      </c>
      <c r="F256" s="2" t="s">
        <v>20</v>
      </c>
      <c r="G256" s="2" t="s">
        <v>170</v>
      </c>
      <c r="H256" s="2" t="s">
        <v>563</v>
      </c>
      <c r="I256" s="2">
        <v>1</v>
      </c>
      <c r="J256" s="2">
        <v>7767</v>
      </c>
      <c r="K256" s="2">
        <v>0</v>
      </c>
      <c r="L256" s="2">
        <v>0</v>
      </c>
      <c r="M256" s="2">
        <v>7767</v>
      </c>
      <c r="N256" s="2" t="s">
        <v>44</v>
      </c>
      <c r="O256" s="2">
        <v>3</v>
      </c>
      <c r="P256" s="2" t="s">
        <v>24</v>
      </c>
    </row>
    <row r="257" spans="1:16" x14ac:dyDescent="0.25">
      <c r="A257" s="4">
        <v>44994</v>
      </c>
      <c r="B257" s="2" t="s">
        <v>606</v>
      </c>
      <c r="C257" s="2" t="s">
        <v>607</v>
      </c>
      <c r="D257" t="s">
        <v>59</v>
      </c>
      <c r="E257" s="2" t="s">
        <v>60</v>
      </c>
      <c r="F257" s="2" t="s">
        <v>61</v>
      </c>
      <c r="G257" s="2" t="s">
        <v>200</v>
      </c>
      <c r="H257" s="2" t="s">
        <v>226</v>
      </c>
      <c r="I257" s="2">
        <v>1</v>
      </c>
      <c r="J257" s="2">
        <v>1216</v>
      </c>
      <c r="K257" s="2">
        <v>5</v>
      </c>
      <c r="L257" s="2">
        <v>60.8</v>
      </c>
      <c r="M257" s="2">
        <v>1155.2</v>
      </c>
      <c r="N257" s="2" t="s">
        <v>23</v>
      </c>
      <c r="O257" s="2">
        <v>3</v>
      </c>
      <c r="P257" s="2" t="s">
        <v>24</v>
      </c>
    </row>
    <row r="258" spans="1:16" x14ac:dyDescent="0.25">
      <c r="A258" s="4">
        <v>44995</v>
      </c>
      <c r="B258" s="2" t="s">
        <v>608</v>
      </c>
      <c r="C258" s="2" t="s">
        <v>422</v>
      </c>
      <c r="D258" t="s">
        <v>27</v>
      </c>
      <c r="E258" s="2" t="s">
        <v>19</v>
      </c>
      <c r="F258" s="2" t="s">
        <v>71</v>
      </c>
      <c r="G258" s="2" t="s">
        <v>86</v>
      </c>
      <c r="H258" s="2" t="s">
        <v>203</v>
      </c>
      <c r="I258" s="2">
        <v>1</v>
      </c>
      <c r="J258" s="2">
        <v>616</v>
      </c>
      <c r="K258" s="2">
        <v>10</v>
      </c>
      <c r="L258" s="2">
        <v>61.6</v>
      </c>
      <c r="M258" s="2">
        <v>554.4</v>
      </c>
      <c r="N258" s="2" t="s">
        <v>44</v>
      </c>
      <c r="O258" s="2">
        <v>5</v>
      </c>
      <c r="P258" s="2" t="s">
        <v>24</v>
      </c>
    </row>
    <row r="259" spans="1:16" x14ac:dyDescent="0.25">
      <c r="A259" s="4">
        <v>44996</v>
      </c>
      <c r="B259" s="2" t="s">
        <v>609</v>
      </c>
      <c r="C259" s="2" t="s">
        <v>75</v>
      </c>
      <c r="D259" t="s">
        <v>53</v>
      </c>
      <c r="E259" s="2" t="s">
        <v>53</v>
      </c>
      <c r="F259" s="2" t="s">
        <v>28</v>
      </c>
      <c r="G259" s="2" t="s">
        <v>29</v>
      </c>
      <c r="H259" s="2" t="s">
        <v>488</v>
      </c>
      <c r="I259" s="2">
        <v>2</v>
      </c>
      <c r="J259" s="2">
        <v>3710</v>
      </c>
      <c r="K259" s="2">
        <v>0</v>
      </c>
      <c r="L259" s="2">
        <v>0</v>
      </c>
      <c r="M259" s="2">
        <v>7420</v>
      </c>
      <c r="N259" s="2" t="s">
        <v>23</v>
      </c>
      <c r="O259" s="2">
        <v>2</v>
      </c>
      <c r="P259" s="2" t="s">
        <v>24</v>
      </c>
    </row>
    <row r="260" spans="1:16" x14ac:dyDescent="0.25">
      <c r="A260" s="4">
        <v>44997</v>
      </c>
      <c r="B260" s="2" t="s">
        <v>610</v>
      </c>
      <c r="C260" s="2" t="s">
        <v>385</v>
      </c>
      <c r="D260" t="s">
        <v>59</v>
      </c>
      <c r="E260" s="2" t="s">
        <v>60</v>
      </c>
      <c r="F260" s="2" t="s">
        <v>61</v>
      </c>
      <c r="G260" s="2" t="s">
        <v>262</v>
      </c>
      <c r="H260" s="2" t="s">
        <v>263</v>
      </c>
      <c r="I260" s="2">
        <v>2</v>
      </c>
      <c r="J260" s="2">
        <v>1637</v>
      </c>
      <c r="K260" s="2">
        <v>10</v>
      </c>
      <c r="L260" s="2">
        <v>327.39999999999998</v>
      </c>
      <c r="M260" s="2">
        <v>2946.6</v>
      </c>
      <c r="N260" s="2" t="s">
        <v>56</v>
      </c>
      <c r="O260" s="2">
        <v>2</v>
      </c>
      <c r="P260" s="2" t="s">
        <v>24</v>
      </c>
    </row>
    <row r="261" spans="1:16" x14ac:dyDescent="0.25">
      <c r="A261" s="4">
        <v>44998</v>
      </c>
      <c r="B261" s="2" t="s">
        <v>611</v>
      </c>
      <c r="C261" s="2" t="s">
        <v>612</v>
      </c>
      <c r="D261" t="s">
        <v>27</v>
      </c>
      <c r="E261" s="2" t="s">
        <v>19</v>
      </c>
      <c r="F261" s="2" t="s">
        <v>20</v>
      </c>
      <c r="G261" s="2" t="s">
        <v>21</v>
      </c>
      <c r="H261" s="2" t="s">
        <v>435</v>
      </c>
      <c r="I261" s="2">
        <v>1</v>
      </c>
      <c r="J261" s="2">
        <v>1348</v>
      </c>
      <c r="K261" s="2">
        <v>10</v>
      </c>
      <c r="L261" s="2">
        <v>134.80000000000001</v>
      </c>
      <c r="M261" s="2">
        <v>1213.2</v>
      </c>
      <c r="N261" s="2" t="s">
        <v>56</v>
      </c>
      <c r="O261" s="2">
        <v>4</v>
      </c>
      <c r="P261" s="2" t="s">
        <v>24</v>
      </c>
    </row>
    <row r="262" spans="1:16" x14ac:dyDescent="0.25">
      <c r="A262" s="4">
        <v>44999</v>
      </c>
      <c r="B262" s="2" t="s">
        <v>613</v>
      </c>
      <c r="C262" s="2" t="s">
        <v>614</v>
      </c>
      <c r="D262" t="s">
        <v>33</v>
      </c>
      <c r="E262" s="2" t="s">
        <v>34</v>
      </c>
      <c r="F262" s="2" t="s">
        <v>28</v>
      </c>
      <c r="G262" s="2" t="s">
        <v>289</v>
      </c>
      <c r="H262" s="2" t="s">
        <v>439</v>
      </c>
      <c r="I262" s="2">
        <v>2</v>
      </c>
      <c r="J262" s="2">
        <v>3844</v>
      </c>
      <c r="K262" s="2">
        <v>5</v>
      </c>
      <c r="L262" s="2">
        <v>384.4</v>
      </c>
      <c r="M262" s="2">
        <v>7303.6</v>
      </c>
      <c r="N262" s="2" t="s">
        <v>56</v>
      </c>
      <c r="O262" s="2">
        <v>2</v>
      </c>
      <c r="P262" s="2" t="s">
        <v>24</v>
      </c>
    </row>
    <row r="263" spans="1:16" x14ac:dyDescent="0.25">
      <c r="A263" s="4">
        <v>45000</v>
      </c>
      <c r="B263" s="2" t="s">
        <v>615</v>
      </c>
      <c r="C263" s="2" t="s">
        <v>177</v>
      </c>
      <c r="D263" t="s">
        <v>18</v>
      </c>
      <c r="E263" s="2" t="s">
        <v>19</v>
      </c>
      <c r="F263" s="2" t="s">
        <v>71</v>
      </c>
      <c r="G263" s="2" t="s">
        <v>86</v>
      </c>
      <c r="H263" s="2" t="s">
        <v>616</v>
      </c>
      <c r="I263" s="2">
        <v>1</v>
      </c>
      <c r="J263" s="2">
        <v>1444</v>
      </c>
      <c r="K263" s="2">
        <v>5</v>
      </c>
      <c r="L263" s="2">
        <v>72.2</v>
      </c>
      <c r="M263" s="2">
        <v>1371.8</v>
      </c>
      <c r="N263" s="2" t="s">
        <v>23</v>
      </c>
      <c r="O263" s="2">
        <v>1</v>
      </c>
      <c r="P263" s="2" t="s">
        <v>24</v>
      </c>
    </row>
    <row r="264" spans="1:16" x14ac:dyDescent="0.25">
      <c r="A264" s="4">
        <v>45001</v>
      </c>
      <c r="B264" s="2" t="s">
        <v>617</v>
      </c>
      <c r="C264" s="2" t="s">
        <v>618</v>
      </c>
      <c r="D264" t="s">
        <v>53</v>
      </c>
      <c r="E264" s="2" t="s">
        <v>53</v>
      </c>
      <c r="F264" s="2" t="s">
        <v>20</v>
      </c>
      <c r="G264" s="2" t="s">
        <v>170</v>
      </c>
      <c r="H264" s="2" t="s">
        <v>563</v>
      </c>
      <c r="I264" s="2">
        <v>2</v>
      </c>
      <c r="J264" s="2">
        <v>2891</v>
      </c>
      <c r="K264" s="2">
        <v>10</v>
      </c>
      <c r="L264" s="2">
        <v>578.20000000000005</v>
      </c>
      <c r="M264" s="2">
        <v>5203.8</v>
      </c>
      <c r="N264" s="2" t="s">
        <v>50</v>
      </c>
      <c r="O264" s="2">
        <v>3</v>
      </c>
      <c r="P264" s="2" t="s">
        <v>24</v>
      </c>
    </row>
    <row r="265" spans="1:16" x14ac:dyDescent="0.25">
      <c r="A265" s="4">
        <v>45002</v>
      </c>
      <c r="B265" s="2" t="s">
        <v>619</v>
      </c>
      <c r="C265" s="2" t="s">
        <v>620</v>
      </c>
      <c r="D265" t="s">
        <v>18</v>
      </c>
      <c r="E265" s="2" t="s">
        <v>19</v>
      </c>
      <c r="F265" s="2" t="s">
        <v>35</v>
      </c>
      <c r="G265" s="2" t="s">
        <v>36</v>
      </c>
      <c r="H265" s="2" t="s">
        <v>98</v>
      </c>
      <c r="I265" s="2">
        <v>1</v>
      </c>
      <c r="J265" s="2">
        <v>11549</v>
      </c>
      <c r="K265" s="2">
        <v>0</v>
      </c>
      <c r="L265" s="2">
        <v>0</v>
      </c>
      <c r="M265" s="2">
        <v>11549</v>
      </c>
      <c r="N265" s="2" t="s">
        <v>50</v>
      </c>
      <c r="O265" s="2">
        <v>2</v>
      </c>
      <c r="P265" s="2" t="s">
        <v>24</v>
      </c>
    </row>
    <row r="266" spans="1:16" x14ac:dyDescent="0.25">
      <c r="A266" s="4">
        <v>45003</v>
      </c>
      <c r="B266" s="2" t="s">
        <v>621</v>
      </c>
      <c r="C266" s="2" t="s">
        <v>622</v>
      </c>
      <c r="D266" t="s">
        <v>59</v>
      </c>
      <c r="E266" s="2" t="s">
        <v>60</v>
      </c>
      <c r="F266" s="2" t="s">
        <v>35</v>
      </c>
      <c r="G266" s="2" t="s">
        <v>67</v>
      </c>
      <c r="H266" s="2" t="s">
        <v>322</v>
      </c>
      <c r="I266" s="2">
        <v>1</v>
      </c>
      <c r="J266" s="2">
        <v>24951</v>
      </c>
      <c r="K266" s="2">
        <v>0</v>
      </c>
      <c r="L266" s="2">
        <v>0</v>
      </c>
      <c r="M266" s="2">
        <v>24951</v>
      </c>
      <c r="N266" s="2" t="s">
        <v>56</v>
      </c>
      <c r="O266" s="2">
        <v>3</v>
      </c>
      <c r="P266" s="2" t="s">
        <v>24</v>
      </c>
    </row>
    <row r="267" spans="1:16" x14ac:dyDescent="0.25">
      <c r="A267" s="4">
        <v>45004</v>
      </c>
      <c r="B267" s="2" t="s">
        <v>623</v>
      </c>
      <c r="C267" s="2" t="s">
        <v>383</v>
      </c>
      <c r="D267" t="s">
        <v>84</v>
      </c>
      <c r="E267" s="2" t="s">
        <v>85</v>
      </c>
      <c r="F267" s="2" t="s">
        <v>28</v>
      </c>
      <c r="G267" s="2" t="s">
        <v>110</v>
      </c>
      <c r="H267" s="2" t="s">
        <v>253</v>
      </c>
      <c r="I267" s="2">
        <v>1</v>
      </c>
      <c r="J267" s="2">
        <v>1768</v>
      </c>
      <c r="K267" s="2">
        <v>0</v>
      </c>
      <c r="L267" s="2">
        <v>0</v>
      </c>
      <c r="M267" s="2">
        <v>1768</v>
      </c>
      <c r="N267" s="2" t="s">
        <v>23</v>
      </c>
      <c r="O267" s="2">
        <v>3</v>
      </c>
      <c r="P267" s="2" t="s">
        <v>24</v>
      </c>
    </row>
    <row r="268" spans="1:16" x14ac:dyDescent="0.25">
      <c r="A268" s="4">
        <v>45005</v>
      </c>
      <c r="B268" s="2" t="s">
        <v>624</v>
      </c>
      <c r="C268" s="2" t="s">
        <v>625</v>
      </c>
      <c r="D268" t="s">
        <v>47</v>
      </c>
      <c r="E268" s="2" t="s">
        <v>48</v>
      </c>
      <c r="F268" s="2" t="s">
        <v>61</v>
      </c>
      <c r="G268" s="2" t="s">
        <v>62</v>
      </c>
      <c r="H268" s="2" t="s">
        <v>63</v>
      </c>
      <c r="I268" s="2">
        <v>3</v>
      </c>
      <c r="J268" s="2">
        <v>535</v>
      </c>
      <c r="K268" s="2">
        <v>15</v>
      </c>
      <c r="L268" s="2">
        <v>240.75</v>
      </c>
      <c r="M268" s="2">
        <v>1364.25</v>
      </c>
      <c r="N268" s="2" t="s">
        <v>44</v>
      </c>
      <c r="O268" s="2">
        <v>3</v>
      </c>
      <c r="P268" s="2" t="s">
        <v>24</v>
      </c>
    </row>
    <row r="269" spans="1:16" x14ac:dyDescent="0.25">
      <c r="A269" s="4">
        <v>45006</v>
      </c>
      <c r="B269" s="2" t="s">
        <v>626</v>
      </c>
      <c r="C269" s="2" t="s">
        <v>627</v>
      </c>
      <c r="D269" t="s">
        <v>18</v>
      </c>
      <c r="E269" s="2" t="s">
        <v>19</v>
      </c>
      <c r="F269" s="2" t="s">
        <v>71</v>
      </c>
      <c r="G269" s="2" t="s">
        <v>86</v>
      </c>
      <c r="H269" s="2" t="s">
        <v>145</v>
      </c>
      <c r="I269" s="2">
        <v>1</v>
      </c>
      <c r="J269" s="2">
        <v>573</v>
      </c>
      <c r="K269" s="2">
        <v>10</v>
      </c>
      <c r="L269" s="2">
        <v>57.3</v>
      </c>
      <c r="M269" s="2">
        <v>515.70000000000005</v>
      </c>
      <c r="N269" s="2" t="s">
        <v>56</v>
      </c>
      <c r="O269" s="2">
        <v>3</v>
      </c>
      <c r="P269" s="2" t="s">
        <v>24</v>
      </c>
    </row>
    <row r="270" spans="1:16" x14ac:dyDescent="0.25">
      <c r="A270" s="4">
        <v>45007</v>
      </c>
      <c r="B270" s="2" t="s">
        <v>628</v>
      </c>
      <c r="C270" s="2" t="s">
        <v>487</v>
      </c>
      <c r="D270" t="s">
        <v>18</v>
      </c>
      <c r="E270" s="2" t="s">
        <v>19</v>
      </c>
      <c r="F270" s="2" t="s">
        <v>35</v>
      </c>
      <c r="G270" s="2" t="s">
        <v>67</v>
      </c>
      <c r="H270" s="2" t="s">
        <v>364</v>
      </c>
      <c r="I270" s="2">
        <v>1</v>
      </c>
      <c r="J270" s="2">
        <v>8599</v>
      </c>
      <c r="K270" s="2">
        <v>0</v>
      </c>
      <c r="L270" s="2">
        <v>0</v>
      </c>
      <c r="M270" s="2">
        <v>8599</v>
      </c>
      <c r="N270" s="2" t="s">
        <v>56</v>
      </c>
      <c r="O270" s="2">
        <v>3</v>
      </c>
      <c r="P270" s="2" t="s">
        <v>24</v>
      </c>
    </row>
    <row r="271" spans="1:16" x14ac:dyDescent="0.25">
      <c r="A271" s="4">
        <v>45008</v>
      </c>
      <c r="B271" s="2" t="s">
        <v>629</v>
      </c>
      <c r="C271" s="2" t="s">
        <v>630</v>
      </c>
      <c r="D271" t="s">
        <v>33</v>
      </c>
      <c r="E271" s="2" t="s">
        <v>34</v>
      </c>
      <c r="F271" s="2" t="s">
        <v>71</v>
      </c>
      <c r="G271" s="2" t="s">
        <v>72</v>
      </c>
      <c r="H271" s="2" t="s">
        <v>511</v>
      </c>
      <c r="I271" s="2">
        <v>1</v>
      </c>
      <c r="J271" s="2">
        <v>264</v>
      </c>
      <c r="K271" s="2">
        <v>5</v>
      </c>
      <c r="L271" s="2">
        <v>13.2</v>
      </c>
      <c r="M271" s="2">
        <v>250.8</v>
      </c>
      <c r="N271" s="2" t="s">
        <v>56</v>
      </c>
      <c r="O271" s="2">
        <v>2</v>
      </c>
      <c r="P271" s="2" t="s">
        <v>24</v>
      </c>
    </row>
    <row r="272" spans="1:16" x14ac:dyDescent="0.25">
      <c r="A272" s="4">
        <v>45009</v>
      </c>
      <c r="B272" s="2" t="s">
        <v>631</v>
      </c>
      <c r="C272" s="2" t="s">
        <v>258</v>
      </c>
      <c r="D272" t="s">
        <v>53</v>
      </c>
      <c r="E272" s="2" t="s">
        <v>53</v>
      </c>
      <c r="F272" s="2" t="s">
        <v>71</v>
      </c>
      <c r="G272" s="2" t="s">
        <v>76</v>
      </c>
      <c r="H272" s="2" t="s">
        <v>95</v>
      </c>
      <c r="I272" s="2">
        <v>2</v>
      </c>
      <c r="J272" s="2">
        <v>654</v>
      </c>
      <c r="K272" s="2">
        <v>0</v>
      </c>
      <c r="L272" s="2">
        <v>0</v>
      </c>
      <c r="M272" s="2">
        <v>1308</v>
      </c>
      <c r="N272" s="2" t="s">
        <v>50</v>
      </c>
      <c r="O272" s="2">
        <v>4</v>
      </c>
      <c r="P272" s="2" t="s">
        <v>24</v>
      </c>
    </row>
    <row r="273" spans="1:16" x14ac:dyDescent="0.25">
      <c r="A273" s="4">
        <v>45010</v>
      </c>
      <c r="B273" s="2" t="s">
        <v>632</v>
      </c>
      <c r="C273" s="2" t="s">
        <v>297</v>
      </c>
      <c r="D273" t="s">
        <v>47</v>
      </c>
      <c r="E273" s="2" t="s">
        <v>48</v>
      </c>
      <c r="F273" s="2" t="s">
        <v>28</v>
      </c>
      <c r="G273" s="2" t="s">
        <v>110</v>
      </c>
      <c r="H273" s="2" t="s">
        <v>409</v>
      </c>
      <c r="I273" s="2">
        <v>1</v>
      </c>
      <c r="J273" s="2">
        <v>4447</v>
      </c>
      <c r="K273" s="2">
        <v>0</v>
      </c>
      <c r="L273" s="2">
        <v>0</v>
      </c>
      <c r="M273" s="2">
        <v>4447</v>
      </c>
      <c r="N273" s="2" t="s">
        <v>44</v>
      </c>
      <c r="O273" s="2">
        <v>5</v>
      </c>
      <c r="P273" s="2" t="s">
        <v>24</v>
      </c>
    </row>
    <row r="274" spans="1:16" x14ac:dyDescent="0.25">
      <c r="A274" s="4">
        <v>45011</v>
      </c>
      <c r="B274" s="2" t="s">
        <v>633</v>
      </c>
      <c r="C274" s="2" t="s">
        <v>465</v>
      </c>
      <c r="D274" t="s">
        <v>84</v>
      </c>
      <c r="E274" s="2" t="s">
        <v>85</v>
      </c>
      <c r="F274" s="2" t="s">
        <v>61</v>
      </c>
      <c r="G274" s="2" t="s">
        <v>262</v>
      </c>
      <c r="H274" s="2" t="s">
        <v>482</v>
      </c>
      <c r="I274" s="2">
        <v>2</v>
      </c>
      <c r="J274" s="2">
        <v>1791</v>
      </c>
      <c r="K274" s="2">
        <v>5</v>
      </c>
      <c r="L274" s="2">
        <v>179.1</v>
      </c>
      <c r="M274" s="2">
        <v>3402.9</v>
      </c>
      <c r="N274" s="2" t="s">
        <v>44</v>
      </c>
      <c r="O274" s="2">
        <v>2</v>
      </c>
      <c r="P274" s="2" t="s">
        <v>24</v>
      </c>
    </row>
    <row r="275" spans="1:16" x14ac:dyDescent="0.25">
      <c r="A275" s="4">
        <v>45012</v>
      </c>
      <c r="B275" s="2" t="s">
        <v>634</v>
      </c>
      <c r="C275" s="2" t="s">
        <v>635</v>
      </c>
      <c r="D275" t="s">
        <v>174</v>
      </c>
      <c r="E275" s="2" t="s">
        <v>60</v>
      </c>
      <c r="F275" s="2" t="s">
        <v>28</v>
      </c>
      <c r="G275" s="2" t="s">
        <v>289</v>
      </c>
      <c r="H275" s="2" t="s">
        <v>300</v>
      </c>
      <c r="I275" s="2">
        <v>2</v>
      </c>
      <c r="J275" s="2">
        <v>1161</v>
      </c>
      <c r="K275" s="2">
        <v>0</v>
      </c>
      <c r="L275" s="2">
        <v>0</v>
      </c>
      <c r="M275" s="2">
        <v>2322</v>
      </c>
      <c r="N275" s="2" t="s">
        <v>50</v>
      </c>
      <c r="O275" s="2">
        <v>5</v>
      </c>
      <c r="P275" s="2" t="s">
        <v>24</v>
      </c>
    </row>
    <row r="276" spans="1:16" x14ac:dyDescent="0.25">
      <c r="A276" s="4">
        <v>45013</v>
      </c>
      <c r="B276" s="2" t="s">
        <v>636</v>
      </c>
      <c r="C276" s="2" t="s">
        <v>622</v>
      </c>
      <c r="D276" t="s">
        <v>59</v>
      </c>
      <c r="E276" s="2" t="s">
        <v>60</v>
      </c>
      <c r="F276" s="2" t="s">
        <v>28</v>
      </c>
      <c r="G276" s="2" t="s">
        <v>110</v>
      </c>
      <c r="H276" s="2" t="s">
        <v>317</v>
      </c>
      <c r="I276" s="2">
        <v>1</v>
      </c>
      <c r="J276" s="2">
        <v>1705</v>
      </c>
      <c r="K276" s="2">
        <v>5</v>
      </c>
      <c r="L276" s="2">
        <v>85.25</v>
      </c>
      <c r="M276" s="2">
        <v>1619.75</v>
      </c>
      <c r="N276" s="2" t="s">
        <v>56</v>
      </c>
      <c r="O276" s="2">
        <v>2</v>
      </c>
      <c r="P276" s="2" t="s">
        <v>24</v>
      </c>
    </row>
    <row r="277" spans="1:16" x14ac:dyDescent="0.25">
      <c r="A277" s="4">
        <v>45014</v>
      </c>
      <c r="B277" s="2" t="s">
        <v>637</v>
      </c>
      <c r="C277" s="2" t="s">
        <v>166</v>
      </c>
      <c r="D277" t="s">
        <v>47</v>
      </c>
      <c r="E277" s="2" t="s">
        <v>48</v>
      </c>
      <c r="F277" s="2" t="s">
        <v>71</v>
      </c>
      <c r="G277" s="2" t="s">
        <v>114</v>
      </c>
      <c r="H277" s="2" t="s">
        <v>245</v>
      </c>
      <c r="I277" s="2">
        <v>1</v>
      </c>
      <c r="J277" s="2">
        <v>952</v>
      </c>
      <c r="K277" s="2">
        <v>0</v>
      </c>
      <c r="L277" s="2">
        <v>0</v>
      </c>
      <c r="M277" s="2">
        <v>952</v>
      </c>
      <c r="N277" s="2" t="s">
        <v>23</v>
      </c>
      <c r="O277" s="2">
        <v>2</v>
      </c>
      <c r="P277" s="2" t="s">
        <v>24</v>
      </c>
    </row>
    <row r="278" spans="1:16" x14ac:dyDescent="0.25">
      <c r="A278" s="4">
        <v>45015</v>
      </c>
      <c r="B278" s="2" t="s">
        <v>638</v>
      </c>
      <c r="C278" s="2" t="s">
        <v>625</v>
      </c>
      <c r="D278" t="s">
        <v>41</v>
      </c>
      <c r="E278" s="2" t="s">
        <v>19</v>
      </c>
      <c r="F278" s="2" t="s">
        <v>71</v>
      </c>
      <c r="G278" s="2" t="s">
        <v>76</v>
      </c>
      <c r="H278" s="2" t="s">
        <v>95</v>
      </c>
      <c r="I278" s="2">
        <v>1</v>
      </c>
      <c r="J278" s="2">
        <v>559</v>
      </c>
      <c r="K278" s="2">
        <v>5</v>
      </c>
      <c r="L278" s="2">
        <v>27.95</v>
      </c>
      <c r="M278" s="2">
        <v>531.04999999999995</v>
      </c>
      <c r="N278" s="2" t="s">
        <v>56</v>
      </c>
      <c r="O278" s="2">
        <v>3</v>
      </c>
      <c r="P278" s="2" t="s">
        <v>24</v>
      </c>
    </row>
    <row r="279" spans="1:16" x14ac:dyDescent="0.25">
      <c r="A279" s="4">
        <v>45016</v>
      </c>
      <c r="B279" s="2" t="s">
        <v>639</v>
      </c>
      <c r="C279" s="2" t="s">
        <v>52</v>
      </c>
      <c r="D279" t="s">
        <v>41</v>
      </c>
      <c r="E279" s="2" t="s">
        <v>19</v>
      </c>
      <c r="F279" s="2" t="s">
        <v>35</v>
      </c>
      <c r="G279" s="2" t="s">
        <v>67</v>
      </c>
      <c r="H279" s="2" t="s">
        <v>368</v>
      </c>
      <c r="I279" s="2">
        <v>1</v>
      </c>
      <c r="J279" s="2">
        <v>31255</v>
      </c>
      <c r="K279" s="2">
        <v>10</v>
      </c>
      <c r="L279" s="2">
        <v>3125.5</v>
      </c>
      <c r="M279" s="2">
        <v>28129.5</v>
      </c>
      <c r="N279" s="2" t="s">
        <v>23</v>
      </c>
      <c r="O279" s="2">
        <v>2</v>
      </c>
      <c r="P279" s="2" t="s">
        <v>24</v>
      </c>
    </row>
    <row r="280" spans="1:16" x14ac:dyDescent="0.25">
      <c r="A280" s="4">
        <v>45017</v>
      </c>
      <c r="B280" s="2" t="s">
        <v>640</v>
      </c>
      <c r="C280" s="2" t="s">
        <v>641</v>
      </c>
      <c r="D280" t="s">
        <v>27</v>
      </c>
      <c r="E280" s="2" t="s">
        <v>19</v>
      </c>
      <c r="F280" s="2" t="s">
        <v>61</v>
      </c>
      <c r="G280" s="2" t="s">
        <v>150</v>
      </c>
      <c r="H280" s="2" t="s">
        <v>151</v>
      </c>
      <c r="I280" s="2">
        <v>1</v>
      </c>
      <c r="J280" s="2">
        <v>1904</v>
      </c>
      <c r="K280" s="2">
        <v>5</v>
      </c>
      <c r="L280" s="2">
        <v>95.2</v>
      </c>
      <c r="M280" s="2">
        <v>1808.8</v>
      </c>
      <c r="N280" s="2" t="s">
        <v>23</v>
      </c>
      <c r="O280" s="2">
        <v>2</v>
      </c>
      <c r="P280" s="2" t="s">
        <v>24</v>
      </c>
    </row>
    <row r="281" spans="1:16" x14ac:dyDescent="0.25">
      <c r="A281" s="4">
        <v>45018</v>
      </c>
      <c r="B281" s="2" t="s">
        <v>642</v>
      </c>
      <c r="C281" s="2" t="s">
        <v>562</v>
      </c>
      <c r="D281" t="s">
        <v>33</v>
      </c>
      <c r="E281" s="2" t="s">
        <v>34</v>
      </c>
      <c r="F281" s="2" t="s">
        <v>61</v>
      </c>
      <c r="G281" s="2" t="s">
        <v>150</v>
      </c>
      <c r="H281" s="2" t="s">
        <v>209</v>
      </c>
      <c r="I281" s="2">
        <v>1</v>
      </c>
      <c r="J281" s="2">
        <v>1387</v>
      </c>
      <c r="K281" s="2">
        <v>10</v>
      </c>
      <c r="L281" s="2">
        <v>138.69999999999999</v>
      </c>
      <c r="M281" s="2">
        <v>1248.3</v>
      </c>
      <c r="N281" s="2" t="s">
        <v>44</v>
      </c>
      <c r="O281" s="2">
        <v>4</v>
      </c>
      <c r="P281" s="2" t="s">
        <v>24</v>
      </c>
    </row>
    <row r="282" spans="1:16" x14ac:dyDescent="0.25">
      <c r="A282" s="4">
        <v>45019</v>
      </c>
      <c r="B282" s="2" t="s">
        <v>643</v>
      </c>
      <c r="C282" s="2" t="s">
        <v>235</v>
      </c>
      <c r="D282" t="s">
        <v>47</v>
      </c>
      <c r="E282" s="2" t="s">
        <v>48</v>
      </c>
      <c r="F282" s="2" t="s">
        <v>35</v>
      </c>
      <c r="G282" s="2" t="s">
        <v>80</v>
      </c>
      <c r="H282" s="2" t="s">
        <v>520</v>
      </c>
      <c r="I282" s="2">
        <v>1</v>
      </c>
      <c r="J282" s="2">
        <v>39818</v>
      </c>
      <c r="K282" s="2">
        <v>10</v>
      </c>
      <c r="L282" s="2">
        <v>3981.8</v>
      </c>
      <c r="M282" s="2">
        <v>35836.199999999997</v>
      </c>
      <c r="N282" s="2" t="s">
        <v>23</v>
      </c>
      <c r="O282" s="2">
        <v>3</v>
      </c>
      <c r="P282" s="2" t="s">
        <v>24</v>
      </c>
    </row>
    <row r="283" spans="1:16" x14ac:dyDescent="0.25">
      <c r="A283" s="4">
        <v>45020</v>
      </c>
      <c r="B283" s="2" t="s">
        <v>644</v>
      </c>
      <c r="C283" s="2" t="s">
        <v>645</v>
      </c>
      <c r="D283" t="s">
        <v>47</v>
      </c>
      <c r="E283" s="2" t="s">
        <v>48</v>
      </c>
      <c r="F283" s="2" t="s">
        <v>20</v>
      </c>
      <c r="G283" s="2" t="s">
        <v>139</v>
      </c>
      <c r="H283" s="2" t="s">
        <v>646</v>
      </c>
      <c r="I283" s="2">
        <v>1</v>
      </c>
      <c r="J283" s="2">
        <v>7647</v>
      </c>
      <c r="K283" s="2">
        <v>0</v>
      </c>
      <c r="L283" s="2">
        <v>0</v>
      </c>
      <c r="M283" s="2">
        <v>7647</v>
      </c>
      <c r="N283" s="2" t="s">
        <v>44</v>
      </c>
      <c r="O283" s="2">
        <v>4</v>
      </c>
      <c r="P283" s="2" t="s">
        <v>24</v>
      </c>
    </row>
    <row r="284" spans="1:16" x14ac:dyDescent="0.25">
      <c r="A284" s="4">
        <v>45021</v>
      </c>
      <c r="B284" s="2" t="s">
        <v>647</v>
      </c>
      <c r="C284" s="2" t="s">
        <v>449</v>
      </c>
      <c r="D284" t="s">
        <v>53</v>
      </c>
      <c r="E284" s="2" t="s">
        <v>53</v>
      </c>
      <c r="F284" s="2" t="s">
        <v>35</v>
      </c>
      <c r="G284" s="2" t="s">
        <v>36</v>
      </c>
      <c r="H284" s="2" t="s">
        <v>648</v>
      </c>
      <c r="I284" s="2">
        <v>1</v>
      </c>
      <c r="J284" s="2">
        <v>12989</v>
      </c>
      <c r="K284" s="2">
        <v>0</v>
      </c>
      <c r="L284" s="2">
        <v>0</v>
      </c>
      <c r="M284" s="2">
        <v>12989</v>
      </c>
      <c r="N284" s="2" t="s">
        <v>56</v>
      </c>
      <c r="O284" s="2">
        <v>3</v>
      </c>
      <c r="P284" s="2" t="s">
        <v>24</v>
      </c>
    </row>
    <row r="285" spans="1:16" x14ac:dyDescent="0.25">
      <c r="A285" s="4">
        <v>45022</v>
      </c>
      <c r="B285" s="2" t="s">
        <v>649</v>
      </c>
      <c r="C285" s="2" t="s">
        <v>650</v>
      </c>
      <c r="D285" t="s">
        <v>66</v>
      </c>
      <c r="E285" s="2" t="s">
        <v>19</v>
      </c>
      <c r="F285" s="2" t="s">
        <v>71</v>
      </c>
      <c r="G285" s="2" t="s">
        <v>86</v>
      </c>
      <c r="H285" s="2" t="s">
        <v>145</v>
      </c>
      <c r="I285" s="2">
        <v>3</v>
      </c>
      <c r="J285" s="2">
        <v>1183</v>
      </c>
      <c r="K285" s="2">
        <v>15</v>
      </c>
      <c r="L285" s="2">
        <v>532.35</v>
      </c>
      <c r="M285" s="2">
        <v>3016.65</v>
      </c>
      <c r="N285" s="2" t="s">
        <v>44</v>
      </c>
      <c r="O285" s="2">
        <v>6</v>
      </c>
      <c r="P285" s="2" t="s">
        <v>24</v>
      </c>
    </row>
    <row r="286" spans="1:16" x14ac:dyDescent="0.25">
      <c r="A286" s="4">
        <v>45023</v>
      </c>
      <c r="B286" s="2" t="s">
        <v>651</v>
      </c>
      <c r="C286" s="2" t="s">
        <v>652</v>
      </c>
      <c r="D286" t="s">
        <v>174</v>
      </c>
      <c r="E286" s="2" t="s">
        <v>60</v>
      </c>
      <c r="F286" s="2" t="s">
        <v>28</v>
      </c>
      <c r="G286" s="2" t="s">
        <v>110</v>
      </c>
      <c r="H286" s="2" t="s">
        <v>253</v>
      </c>
      <c r="I286" s="2">
        <v>1</v>
      </c>
      <c r="J286" s="2">
        <v>4529</v>
      </c>
      <c r="K286" s="2">
        <v>20</v>
      </c>
      <c r="L286" s="2">
        <v>905.8</v>
      </c>
      <c r="M286" s="2">
        <v>3623.2</v>
      </c>
      <c r="N286" s="2" t="s">
        <v>44</v>
      </c>
      <c r="O286" s="2">
        <v>4</v>
      </c>
      <c r="P286" s="2" t="s">
        <v>24</v>
      </c>
    </row>
    <row r="287" spans="1:16" x14ac:dyDescent="0.25">
      <c r="A287" s="4">
        <v>45024</v>
      </c>
      <c r="B287" s="2" t="s">
        <v>653</v>
      </c>
      <c r="C287" s="2" t="s">
        <v>40</v>
      </c>
      <c r="D287" t="s">
        <v>66</v>
      </c>
      <c r="E287" s="2" t="s">
        <v>19</v>
      </c>
      <c r="F287" s="2" t="s">
        <v>28</v>
      </c>
      <c r="G287" s="2" t="s">
        <v>90</v>
      </c>
      <c r="H287" s="2" t="s">
        <v>103</v>
      </c>
      <c r="I287" s="2">
        <v>1</v>
      </c>
      <c r="J287" s="2">
        <v>2848</v>
      </c>
      <c r="K287" s="2">
        <v>15</v>
      </c>
      <c r="L287" s="2">
        <v>427.2</v>
      </c>
      <c r="M287" s="2">
        <v>2420.8000000000002</v>
      </c>
      <c r="N287" s="2" t="s">
        <v>44</v>
      </c>
      <c r="O287" s="2">
        <v>8</v>
      </c>
      <c r="P287" s="2" t="s">
        <v>24</v>
      </c>
    </row>
    <row r="288" spans="1:16" x14ac:dyDescent="0.25">
      <c r="A288" s="4">
        <v>45025</v>
      </c>
      <c r="B288" s="2" t="s">
        <v>654</v>
      </c>
      <c r="C288" s="2" t="s">
        <v>655</v>
      </c>
      <c r="D288" t="s">
        <v>41</v>
      </c>
      <c r="E288" s="2" t="s">
        <v>19</v>
      </c>
      <c r="F288" s="2" t="s">
        <v>20</v>
      </c>
      <c r="G288" s="2" t="s">
        <v>139</v>
      </c>
      <c r="H288" s="2" t="s">
        <v>492</v>
      </c>
      <c r="I288" s="2">
        <v>3</v>
      </c>
      <c r="J288" s="2">
        <v>4744</v>
      </c>
      <c r="K288" s="2">
        <v>5</v>
      </c>
      <c r="L288" s="2">
        <v>711.6</v>
      </c>
      <c r="M288" s="2">
        <v>13520.4</v>
      </c>
      <c r="N288" s="2" t="s">
        <v>23</v>
      </c>
      <c r="O288" s="2">
        <v>2</v>
      </c>
      <c r="P288" s="2" t="s">
        <v>24</v>
      </c>
    </row>
    <row r="289" spans="1:16" x14ac:dyDescent="0.25">
      <c r="A289" s="4">
        <v>45026</v>
      </c>
      <c r="B289" s="2" t="s">
        <v>656</v>
      </c>
      <c r="C289" s="2" t="s">
        <v>397</v>
      </c>
      <c r="D289" t="s">
        <v>41</v>
      </c>
      <c r="E289" s="2" t="s">
        <v>19</v>
      </c>
      <c r="F289" s="2" t="s">
        <v>61</v>
      </c>
      <c r="G289" s="2" t="s">
        <v>250</v>
      </c>
      <c r="H289" s="2" t="s">
        <v>256</v>
      </c>
      <c r="I289" s="2">
        <v>2</v>
      </c>
      <c r="J289" s="2">
        <v>368</v>
      </c>
      <c r="K289" s="2">
        <v>5</v>
      </c>
      <c r="L289" s="2">
        <v>36.799999999999997</v>
      </c>
      <c r="M289" s="2">
        <v>699.2</v>
      </c>
      <c r="N289" s="2" t="s">
        <v>23</v>
      </c>
      <c r="O289" s="2">
        <v>1</v>
      </c>
      <c r="P289" s="2" t="s">
        <v>24</v>
      </c>
    </row>
    <row r="290" spans="1:16" x14ac:dyDescent="0.25">
      <c r="A290" s="4">
        <v>45027</v>
      </c>
      <c r="B290" s="2" t="s">
        <v>657</v>
      </c>
      <c r="C290" s="2" t="s">
        <v>658</v>
      </c>
      <c r="D290" t="s">
        <v>84</v>
      </c>
      <c r="E290" s="2" t="s">
        <v>85</v>
      </c>
      <c r="F290" s="2" t="s">
        <v>20</v>
      </c>
      <c r="G290" s="2" t="s">
        <v>21</v>
      </c>
      <c r="H290" s="2" t="s">
        <v>136</v>
      </c>
      <c r="I290" s="2">
        <v>1</v>
      </c>
      <c r="J290" s="2">
        <v>6473</v>
      </c>
      <c r="K290" s="2">
        <v>5</v>
      </c>
      <c r="L290" s="2">
        <v>323.64999999999998</v>
      </c>
      <c r="M290" s="2">
        <v>6149.35</v>
      </c>
      <c r="N290" s="2" t="s">
        <v>50</v>
      </c>
      <c r="O290" s="2">
        <v>3</v>
      </c>
      <c r="P290" s="2" t="s">
        <v>24</v>
      </c>
    </row>
    <row r="291" spans="1:16" x14ac:dyDescent="0.25">
      <c r="A291" s="4">
        <v>45028</v>
      </c>
      <c r="B291" s="2" t="s">
        <v>659</v>
      </c>
      <c r="C291" s="2" t="s">
        <v>660</v>
      </c>
      <c r="D291" t="s">
        <v>53</v>
      </c>
      <c r="E291" s="2" t="s">
        <v>53</v>
      </c>
      <c r="F291" s="2" t="s">
        <v>71</v>
      </c>
      <c r="G291" s="2" t="s">
        <v>106</v>
      </c>
      <c r="H291" s="2" t="s">
        <v>107</v>
      </c>
      <c r="I291" s="2">
        <v>1</v>
      </c>
      <c r="J291" s="2">
        <v>843</v>
      </c>
      <c r="K291" s="2">
        <v>5</v>
      </c>
      <c r="L291" s="2">
        <v>42.15</v>
      </c>
      <c r="M291" s="2">
        <v>800.85</v>
      </c>
      <c r="N291" s="2" t="s">
        <v>44</v>
      </c>
      <c r="O291" s="2">
        <v>4</v>
      </c>
      <c r="P291" s="2" t="s">
        <v>24</v>
      </c>
    </row>
    <row r="292" spans="1:16" x14ac:dyDescent="0.25">
      <c r="A292" s="4">
        <v>45029</v>
      </c>
      <c r="B292" s="2" t="s">
        <v>661</v>
      </c>
      <c r="C292" s="2" t="s">
        <v>662</v>
      </c>
      <c r="D292" t="s">
        <v>84</v>
      </c>
      <c r="E292" s="2" t="s">
        <v>85</v>
      </c>
      <c r="F292" s="2" t="s">
        <v>28</v>
      </c>
      <c r="G292" s="2" t="s">
        <v>29</v>
      </c>
      <c r="H292" s="2" t="s">
        <v>30</v>
      </c>
      <c r="I292" s="2">
        <v>2</v>
      </c>
      <c r="J292" s="2">
        <v>4877</v>
      </c>
      <c r="K292" s="2">
        <v>10</v>
      </c>
      <c r="L292" s="2">
        <v>975.4</v>
      </c>
      <c r="M292" s="2">
        <v>8778.6</v>
      </c>
      <c r="N292" s="2" t="s">
        <v>38</v>
      </c>
      <c r="O292" s="2">
        <v>2</v>
      </c>
      <c r="P292" s="2" t="s">
        <v>24</v>
      </c>
    </row>
    <row r="293" spans="1:16" x14ac:dyDescent="0.25">
      <c r="A293" s="4">
        <v>45030</v>
      </c>
      <c r="B293" s="2" t="s">
        <v>663</v>
      </c>
      <c r="C293" s="2" t="s">
        <v>460</v>
      </c>
      <c r="D293" t="s">
        <v>174</v>
      </c>
      <c r="E293" s="2" t="s">
        <v>60</v>
      </c>
      <c r="F293" s="2" t="s">
        <v>28</v>
      </c>
      <c r="G293" s="2" t="s">
        <v>29</v>
      </c>
      <c r="H293" s="2" t="s">
        <v>664</v>
      </c>
      <c r="I293" s="2">
        <v>1</v>
      </c>
      <c r="J293" s="2">
        <v>2686</v>
      </c>
      <c r="K293" s="2">
        <v>0</v>
      </c>
      <c r="L293" s="2">
        <v>0</v>
      </c>
      <c r="M293" s="2">
        <v>2686</v>
      </c>
      <c r="N293" s="2" t="s">
        <v>44</v>
      </c>
      <c r="O293" s="2">
        <v>2</v>
      </c>
      <c r="P293" s="2" t="s">
        <v>24</v>
      </c>
    </row>
    <row r="294" spans="1:16" x14ac:dyDescent="0.25">
      <c r="A294" s="4">
        <v>45031</v>
      </c>
      <c r="B294" s="2" t="s">
        <v>665</v>
      </c>
      <c r="C294" s="2" t="s">
        <v>261</v>
      </c>
      <c r="D294" t="s">
        <v>174</v>
      </c>
      <c r="E294" s="2" t="s">
        <v>60</v>
      </c>
      <c r="F294" s="2" t="s">
        <v>20</v>
      </c>
      <c r="G294" s="2" t="s">
        <v>42</v>
      </c>
      <c r="H294" s="2" t="s">
        <v>195</v>
      </c>
      <c r="I294" s="2">
        <v>2</v>
      </c>
      <c r="J294" s="2">
        <v>6770</v>
      </c>
      <c r="K294" s="2">
        <v>5</v>
      </c>
      <c r="L294" s="2">
        <v>677</v>
      </c>
      <c r="M294" s="2">
        <v>12863</v>
      </c>
      <c r="N294" s="2" t="s">
        <v>44</v>
      </c>
      <c r="O294" s="2">
        <v>3</v>
      </c>
      <c r="P294" s="2" t="s">
        <v>24</v>
      </c>
    </row>
    <row r="295" spans="1:16" x14ac:dyDescent="0.25">
      <c r="A295" s="4">
        <v>45032</v>
      </c>
      <c r="B295" s="2" t="s">
        <v>666</v>
      </c>
      <c r="C295" s="2" t="s">
        <v>667</v>
      </c>
      <c r="D295" t="s">
        <v>33</v>
      </c>
      <c r="E295" s="2" t="s">
        <v>34</v>
      </c>
      <c r="F295" s="2" t="s">
        <v>71</v>
      </c>
      <c r="G295" s="2" t="s">
        <v>76</v>
      </c>
      <c r="H295" s="2" t="s">
        <v>181</v>
      </c>
      <c r="I295" s="2">
        <v>1</v>
      </c>
      <c r="J295" s="2">
        <v>486</v>
      </c>
      <c r="K295" s="2">
        <v>10</v>
      </c>
      <c r="L295" s="2">
        <v>48.6</v>
      </c>
      <c r="M295" s="2">
        <v>437.4</v>
      </c>
      <c r="N295" s="2" t="s">
        <v>23</v>
      </c>
      <c r="O295" s="2">
        <v>2</v>
      </c>
      <c r="P295" s="2" t="s">
        <v>24</v>
      </c>
    </row>
    <row r="296" spans="1:16" x14ac:dyDescent="0.25">
      <c r="A296" s="4">
        <v>45033</v>
      </c>
      <c r="B296" s="2" t="s">
        <v>668</v>
      </c>
      <c r="C296" s="2" t="s">
        <v>158</v>
      </c>
      <c r="D296" t="s">
        <v>66</v>
      </c>
      <c r="E296" s="2" t="s">
        <v>19</v>
      </c>
      <c r="F296" s="2" t="s">
        <v>71</v>
      </c>
      <c r="G296" s="2" t="s">
        <v>114</v>
      </c>
      <c r="H296" s="2" t="s">
        <v>304</v>
      </c>
      <c r="I296" s="2">
        <v>1</v>
      </c>
      <c r="J296" s="2">
        <v>1306</v>
      </c>
      <c r="K296" s="2">
        <v>15</v>
      </c>
      <c r="L296" s="2">
        <v>195.9</v>
      </c>
      <c r="M296" s="2">
        <v>1110.0999999999999</v>
      </c>
      <c r="N296" s="2" t="s">
        <v>23</v>
      </c>
      <c r="O296" s="2">
        <v>1</v>
      </c>
      <c r="P296" s="2" t="s">
        <v>24</v>
      </c>
    </row>
    <row r="297" spans="1:16" x14ac:dyDescent="0.25">
      <c r="A297" s="4">
        <v>45034</v>
      </c>
      <c r="B297" s="2" t="s">
        <v>669</v>
      </c>
      <c r="C297" s="2" t="s">
        <v>670</v>
      </c>
      <c r="D297" t="s">
        <v>33</v>
      </c>
      <c r="E297" s="2" t="s">
        <v>34</v>
      </c>
      <c r="F297" s="2" t="s">
        <v>61</v>
      </c>
      <c r="G297" s="2" t="s">
        <v>200</v>
      </c>
      <c r="H297" s="2" t="s">
        <v>473</v>
      </c>
      <c r="I297" s="2">
        <v>2</v>
      </c>
      <c r="J297" s="2">
        <v>1727</v>
      </c>
      <c r="K297" s="2">
        <v>5</v>
      </c>
      <c r="L297" s="2">
        <v>172.7</v>
      </c>
      <c r="M297" s="2">
        <v>3281.3</v>
      </c>
      <c r="N297" s="2" t="s">
        <v>50</v>
      </c>
      <c r="O297" s="2">
        <v>2</v>
      </c>
      <c r="P297" s="2" t="s">
        <v>24</v>
      </c>
    </row>
    <row r="298" spans="1:16" x14ac:dyDescent="0.25">
      <c r="A298" s="4">
        <v>45035</v>
      </c>
      <c r="B298" s="2" t="s">
        <v>671</v>
      </c>
      <c r="C298" s="2" t="s">
        <v>138</v>
      </c>
      <c r="D298" t="s">
        <v>47</v>
      </c>
      <c r="E298" s="2" t="s">
        <v>48</v>
      </c>
      <c r="F298" s="2" t="s">
        <v>71</v>
      </c>
      <c r="G298" s="2" t="s">
        <v>114</v>
      </c>
      <c r="H298" s="2" t="s">
        <v>304</v>
      </c>
      <c r="I298" s="2">
        <v>1</v>
      </c>
      <c r="J298" s="2">
        <v>184</v>
      </c>
      <c r="K298" s="2">
        <v>0</v>
      </c>
      <c r="L298" s="2">
        <v>0</v>
      </c>
      <c r="M298" s="2">
        <v>184</v>
      </c>
      <c r="N298" s="2" t="s">
        <v>56</v>
      </c>
      <c r="O298" s="2">
        <v>2</v>
      </c>
      <c r="P298" s="2" t="s">
        <v>24</v>
      </c>
    </row>
    <row r="299" spans="1:16" x14ac:dyDescent="0.25">
      <c r="A299" s="4">
        <v>45036</v>
      </c>
      <c r="B299" s="2" t="s">
        <v>672</v>
      </c>
      <c r="C299" s="2" t="s">
        <v>218</v>
      </c>
      <c r="D299" t="s">
        <v>33</v>
      </c>
      <c r="E299" s="2" t="s">
        <v>34</v>
      </c>
      <c r="F299" s="2" t="s">
        <v>28</v>
      </c>
      <c r="G299" s="2" t="s">
        <v>29</v>
      </c>
      <c r="H299" s="2" t="s">
        <v>30</v>
      </c>
      <c r="I299" s="2">
        <v>1</v>
      </c>
      <c r="J299" s="2">
        <v>1659</v>
      </c>
      <c r="K299" s="2">
        <v>0</v>
      </c>
      <c r="L299" s="2">
        <v>0</v>
      </c>
      <c r="M299" s="2">
        <v>1659</v>
      </c>
      <c r="N299" s="2" t="s">
        <v>23</v>
      </c>
      <c r="O299" s="2">
        <v>2</v>
      </c>
      <c r="P299" s="2" t="s">
        <v>24</v>
      </c>
    </row>
    <row r="300" spans="1:16" x14ac:dyDescent="0.25">
      <c r="A300" s="4">
        <v>45037</v>
      </c>
      <c r="B300" s="2" t="s">
        <v>673</v>
      </c>
      <c r="C300" s="2" t="s">
        <v>223</v>
      </c>
      <c r="D300" t="s">
        <v>53</v>
      </c>
      <c r="E300" s="2" t="s">
        <v>53</v>
      </c>
      <c r="F300" s="2" t="s">
        <v>20</v>
      </c>
      <c r="G300" s="2" t="s">
        <v>170</v>
      </c>
      <c r="H300" s="2" t="s">
        <v>469</v>
      </c>
      <c r="I300" s="2">
        <v>1</v>
      </c>
      <c r="J300" s="2">
        <v>2891</v>
      </c>
      <c r="K300" s="2">
        <v>10</v>
      </c>
      <c r="L300" s="2">
        <v>289.10000000000002</v>
      </c>
      <c r="M300" s="2">
        <v>2601.9</v>
      </c>
      <c r="N300" s="2" t="s">
        <v>50</v>
      </c>
      <c r="O300" s="2">
        <v>3</v>
      </c>
      <c r="P300" s="2" t="s">
        <v>24</v>
      </c>
    </row>
    <row r="301" spans="1:16" x14ac:dyDescent="0.25">
      <c r="A301" s="4">
        <v>45038</v>
      </c>
      <c r="B301" s="2" t="s">
        <v>674</v>
      </c>
      <c r="C301" s="2" t="s">
        <v>471</v>
      </c>
      <c r="D301" t="s">
        <v>41</v>
      </c>
      <c r="E301" s="2" t="s">
        <v>19</v>
      </c>
      <c r="F301" s="2" t="s">
        <v>35</v>
      </c>
      <c r="G301" s="2" t="s">
        <v>67</v>
      </c>
      <c r="H301" s="2" t="s">
        <v>361</v>
      </c>
      <c r="I301" s="2">
        <v>3</v>
      </c>
      <c r="J301" s="2">
        <v>7455</v>
      </c>
      <c r="K301" s="2">
        <v>10</v>
      </c>
      <c r="L301" s="2">
        <v>2236.5</v>
      </c>
      <c r="M301" s="2">
        <v>20128.5</v>
      </c>
      <c r="N301" s="2" t="s">
        <v>23</v>
      </c>
      <c r="O301" s="2">
        <v>4</v>
      </c>
      <c r="P301" s="2" t="s">
        <v>24</v>
      </c>
    </row>
    <row r="302" spans="1:16" x14ac:dyDescent="0.25">
      <c r="A302" s="4">
        <v>45039</v>
      </c>
      <c r="B302" s="2" t="s">
        <v>675</v>
      </c>
      <c r="C302" s="2" t="s">
        <v>559</v>
      </c>
      <c r="D302" t="s">
        <v>18</v>
      </c>
      <c r="E302" s="2" t="s">
        <v>19</v>
      </c>
      <c r="F302" s="2" t="s">
        <v>61</v>
      </c>
      <c r="G302" s="2" t="s">
        <v>62</v>
      </c>
      <c r="H302" s="2" t="s">
        <v>414</v>
      </c>
      <c r="I302" s="2">
        <v>1</v>
      </c>
      <c r="J302" s="2">
        <v>1448</v>
      </c>
      <c r="K302" s="2">
        <v>0</v>
      </c>
      <c r="L302" s="2">
        <v>0</v>
      </c>
      <c r="M302" s="2">
        <v>1448</v>
      </c>
      <c r="N302" s="2" t="s">
        <v>44</v>
      </c>
      <c r="O302" s="2">
        <v>6</v>
      </c>
      <c r="P302" s="2" t="s">
        <v>24</v>
      </c>
    </row>
    <row r="303" spans="1:16" x14ac:dyDescent="0.25">
      <c r="A303" s="4">
        <v>45040</v>
      </c>
      <c r="B303" s="2" t="s">
        <v>676</v>
      </c>
      <c r="C303" s="2" t="s">
        <v>422</v>
      </c>
      <c r="D303" t="s">
        <v>18</v>
      </c>
      <c r="E303" s="2" t="s">
        <v>19</v>
      </c>
      <c r="F303" s="2" t="s">
        <v>71</v>
      </c>
      <c r="G303" s="2" t="s">
        <v>86</v>
      </c>
      <c r="H303" s="2" t="s">
        <v>145</v>
      </c>
      <c r="I303" s="2">
        <v>1</v>
      </c>
      <c r="J303" s="2">
        <v>224</v>
      </c>
      <c r="K303" s="2">
        <v>5</v>
      </c>
      <c r="L303" s="2">
        <v>11.2</v>
      </c>
      <c r="M303" s="2">
        <v>212.8</v>
      </c>
      <c r="N303" s="2" t="s">
        <v>44</v>
      </c>
      <c r="O303" s="2">
        <v>5</v>
      </c>
      <c r="P303" s="2" t="s">
        <v>24</v>
      </c>
    </row>
    <row r="304" spans="1:16" x14ac:dyDescent="0.25">
      <c r="A304" s="4">
        <v>45041</v>
      </c>
      <c r="B304" s="2" t="s">
        <v>677</v>
      </c>
      <c r="C304" s="2" t="s">
        <v>678</v>
      </c>
      <c r="D304" t="s">
        <v>174</v>
      </c>
      <c r="E304" s="2" t="s">
        <v>60</v>
      </c>
      <c r="F304" s="2" t="s">
        <v>28</v>
      </c>
      <c r="G304" s="2" t="s">
        <v>90</v>
      </c>
      <c r="H304" s="2" t="s">
        <v>333</v>
      </c>
      <c r="I304" s="2">
        <v>1</v>
      </c>
      <c r="J304" s="2">
        <v>1991</v>
      </c>
      <c r="K304" s="2">
        <v>10</v>
      </c>
      <c r="L304" s="2">
        <v>199.1</v>
      </c>
      <c r="M304" s="2">
        <v>1791.9</v>
      </c>
      <c r="N304" s="2" t="s">
        <v>44</v>
      </c>
      <c r="O304" s="2">
        <v>5</v>
      </c>
      <c r="P304" s="2" t="s">
        <v>24</v>
      </c>
    </row>
    <row r="305" spans="1:16" x14ac:dyDescent="0.25">
      <c r="A305" s="4">
        <v>45042</v>
      </c>
      <c r="B305" s="2" t="s">
        <v>679</v>
      </c>
      <c r="C305" s="2" t="s">
        <v>173</v>
      </c>
      <c r="D305" t="s">
        <v>27</v>
      </c>
      <c r="E305" s="2" t="s">
        <v>19</v>
      </c>
      <c r="F305" s="2" t="s">
        <v>35</v>
      </c>
      <c r="G305" s="2" t="s">
        <v>130</v>
      </c>
      <c r="H305" s="2" t="s">
        <v>247</v>
      </c>
      <c r="I305" s="2">
        <v>1</v>
      </c>
      <c r="J305" s="2">
        <v>13437</v>
      </c>
      <c r="K305" s="2">
        <v>10</v>
      </c>
      <c r="L305" s="2">
        <v>1343.7</v>
      </c>
      <c r="M305" s="2">
        <v>12093.3</v>
      </c>
      <c r="N305" s="2" t="s">
        <v>23</v>
      </c>
      <c r="O305" s="2">
        <v>2</v>
      </c>
      <c r="P305" s="2" t="s">
        <v>24</v>
      </c>
    </row>
    <row r="306" spans="1:16" x14ac:dyDescent="0.25">
      <c r="A306" s="4">
        <v>45043</v>
      </c>
      <c r="B306" s="2" t="s">
        <v>680</v>
      </c>
      <c r="C306" s="2" t="s">
        <v>681</v>
      </c>
      <c r="D306" t="s">
        <v>47</v>
      </c>
      <c r="E306" s="2" t="s">
        <v>48</v>
      </c>
      <c r="F306" s="2" t="s">
        <v>61</v>
      </c>
      <c r="G306" s="2" t="s">
        <v>150</v>
      </c>
      <c r="H306" s="2" t="s">
        <v>359</v>
      </c>
      <c r="I306" s="2">
        <v>1</v>
      </c>
      <c r="J306" s="2">
        <v>1310</v>
      </c>
      <c r="K306" s="2">
        <v>15</v>
      </c>
      <c r="L306" s="2">
        <v>196.5</v>
      </c>
      <c r="M306" s="2">
        <v>1113.5</v>
      </c>
      <c r="N306" s="2" t="s">
        <v>38</v>
      </c>
      <c r="O306" s="2">
        <v>2</v>
      </c>
      <c r="P306" s="2" t="s">
        <v>24</v>
      </c>
    </row>
    <row r="307" spans="1:16" x14ac:dyDescent="0.25">
      <c r="A307" s="4">
        <v>45044</v>
      </c>
      <c r="B307" s="2" t="s">
        <v>682</v>
      </c>
      <c r="C307" s="2" t="s">
        <v>113</v>
      </c>
      <c r="D307" t="s">
        <v>53</v>
      </c>
      <c r="E307" s="2" t="s">
        <v>53</v>
      </c>
      <c r="F307" s="2" t="s">
        <v>61</v>
      </c>
      <c r="G307" s="2" t="s">
        <v>200</v>
      </c>
      <c r="H307" s="2" t="s">
        <v>201</v>
      </c>
      <c r="I307" s="2">
        <v>1</v>
      </c>
      <c r="J307" s="2">
        <v>1062</v>
      </c>
      <c r="K307" s="2">
        <v>10</v>
      </c>
      <c r="L307" s="2">
        <v>106.2</v>
      </c>
      <c r="M307" s="2">
        <v>955.8</v>
      </c>
      <c r="N307" s="2" t="s">
        <v>50</v>
      </c>
      <c r="O307" s="2">
        <v>1</v>
      </c>
      <c r="P307" s="2" t="s">
        <v>24</v>
      </c>
    </row>
    <row r="308" spans="1:16" x14ac:dyDescent="0.25">
      <c r="A308" s="4">
        <v>45045</v>
      </c>
      <c r="B308" s="2" t="s">
        <v>683</v>
      </c>
      <c r="C308" s="2" t="s">
        <v>684</v>
      </c>
      <c r="D308" t="s">
        <v>84</v>
      </c>
      <c r="E308" s="2" t="s">
        <v>85</v>
      </c>
      <c r="F308" s="2" t="s">
        <v>28</v>
      </c>
      <c r="G308" s="2" t="s">
        <v>29</v>
      </c>
      <c r="H308" s="2" t="s">
        <v>488</v>
      </c>
      <c r="I308" s="2">
        <v>1</v>
      </c>
      <c r="J308" s="2">
        <v>1017</v>
      </c>
      <c r="K308" s="2">
        <v>10</v>
      </c>
      <c r="L308" s="2">
        <v>101.7</v>
      </c>
      <c r="M308" s="2">
        <v>915.3</v>
      </c>
      <c r="N308" s="2" t="s">
        <v>44</v>
      </c>
      <c r="O308" s="2">
        <v>4</v>
      </c>
      <c r="P308" s="2" t="s">
        <v>24</v>
      </c>
    </row>
    <row r="309" spans="1:16" x14ac:dyDescent="0.25">
      <c r="A309" s="4">
        <v>45046</v>
      </c>
      <c r="B309" s="2" t="s">
        <v>685</v>
      </c>
      <c r="C309" s="2" t="s">
        <v>1478</v>
      </c>
      <c r="D309" t="s">
        <v>27</v>
      </c>
      <c r="E309" s="2" t="s">
        <v>19</v>
      </c>
      <c r="F309" s="2" t="s">
        <v>20</v>
      </c>
      <c r="G309" s="2" t="s">
        <v>42</v>
      </c>
      <c r="H309" s="2" t="s">
        <v>221</v>
      </c>
      <c r="I309" s="2">
        <v>1</v>
      </c>
      <c r="J309" s="2">
        <v>3515</v>
      </c>
      <c r="K309" s="2">
        <v>10</v>
      </c>
      <c r="L309" s="2">
        <v>351.5</v>
      </c>
      <c r="M309" s="2">
        <v>3163.5</v>
      </c>
      <c r="N309" s="2" t="s">
        <v>23</v>
      </c>
      <c r="O309" s="2">
        <v>2</v>
      </c>
      <c r="P309" s="2" t="s">
        <v>24</v>
      </c>
    </row>
    <row r="310" spans="1:16" x14ac:dyDescent="0.25">
      <c r="A310" s="4">
        <v>45047</v>
      </c>
      <c r="B310" s="2" t="s">
        <v>686</v>
      </c>
      <c r="C310" s="2" t="s">
        <v>519</v>
      </c>
      <c r="D310" t="s">
        <v>59</v>
      </c>
      <c r="E310" s="2" t="s">
        <v>60</v>
      </c>
      <c r="F310" s="2" t="s">
        <v>20</v>
      </c>
      <c r="G310" s="2" t="s">
        <v>42</v>
      </c>
      <c r="H310" s="2" t="s">
        <v>195</v>
      </c>
      <c r="I310" s="2">
        <v>1</v>
      </c>
      <c r="J310" s="2">
        <v>1449</v>
      </c>
      <c r="K310" s="2">
        <v>0</v>
      </c>
      <c r="L310" s="2">
        <v>0</v>
      </c>
      <c r="M310" s="2">
        <v>1449</v>
      </c>
      <c r="N310" s="2" t="s">
        <v>44</v>
      </c>
      <c r="O310" s="2">
        <v>4</v>
      </c>
      <c r="P310" s="2" t="s">
        <v>24</v>
      </c>
    </row>
    <row r="311" spans="1:16" x14ac:dyDescent="0.25">
      <c r="A311" s="4">
        <v>45048</v>
      </c>
      <c r="B311" s="2" t="s">
        <v>687</v>
      </c>
      <c r="C311" s="2" t="s">
        <v>612</v>
      </c>
      <c r="D311" t="s">
        <v>18</v>
      </c>
      <c r="E311" s="2" t="s">
        <v>19</v>
      </c>
      <c r="F311" s="2" t="s">
        <v>28</v>
      </c>
      <c r="G311" s="2" t="s">
        <v>188</v>
      </c>
      <c r="H311" s="2" t="s">
        <v>189</v>
      </c>
      <c r="I311" s="2">
        <v>1</v>
      </c>
      <c r="J311" s="2">
        <v>2317</v>
      </c>
      <c r="K311" s="2">
        <v>5</v>
      </c>
      <c r="L311" s="2">
        <v>115.85</v>
      </c>
      <c r="M311" s="2">
        <v>2201.15</v>
      </c>
      <c r="N311" s="2" t="s">
        <v>44</v>
      </c>
      <c r="O311" s="2">
        <v>3</v>
      </c>
      <c r="P311" s="2" t="s">
        <v>24</v>
      </c>
    </row>
    <row r="312" spans="1:16" x14ac:dyDescent="0.25">
      <c r="A312" s="4">
        <v>45049</v>
      </c>
      <c r="B312" s="2" t="s">
        <v>688</v>
      </c>
      <c r="C312" s="2" t="s">
        <v>261</v>
      </c>
      <c r="D312" t="s">
        <v>47</v>
      </c>
      <c r="E312" s="2" t="s">
        <v>48</v>
      </c>
      <c r="F312" s="2" t="s">
        <v>35</v>
      </c>
      <c r="G312" s="2" t="s">
        <v>124</v>
      </c>
      <c r="H312" s="2" t="s">
        <v>689</v>
      </c>
      <c r="I312" s="2">
        <v>2</v>
      </c>
      <c r="J312" s="2">
        <v>17756</v>
      </c>
      <c r="K312" s="2">
        <v>10</v>
      </c>
      <c r="L312" s="2">
        <v>3551.2</v>
      </c>
      <c r="M312" s="2">
        <v>31960.799999999999</v>
      </c>
      <c r="N312" s="2" t="s">
        <v>50</v>
      </c>
      <c r="O312" s="2">
        <v>3</v>
      </c>
      <c r="P312" s="2" t="s">
        <v>24</v>
      </c>
    </row>
    <row r="313" spans="1:16" x14ac:dyDescent="0.25">
      <c r="A313" s="4">
        <v>45050</v>
      </c>
      <c r="B313" s="2" t="s">
        <v>690</v>
      </c>
      <c r="C313" s="2" t="s">
        <v>691</v>
      </c>
      <c r="D313" t="s">
        <v>84</v>
      </c>
      <c r="E313" s="2" t="s">
        <v>85</v>
      </c>
      <c r="F313" s="2" t="s">
        <v>61</v>
      </c>
      <c r="G313" s="2" t="s">
        <v>62</v>
      </c>
      <c r="H313" s="2" t="s">
        <v>414</v>
      </c>
      <c r="I313" s="2">
        <v>1</v>
      </c>
      <c r="J313" s="2">
        <v>1137</v>
      </c>
      <c r="K313" s="2">
        <v>0</v>
      </c>
      <c r="L313" s="2">
        <v>0</v>
      </c>
      <c r="M313" s="2">
        <v>1137</v>
      </c>
      <c r="N313" s="2" t="s">
        <v>44</v>
      </c>
      <c r="O313" s="2">
        <v>3</v>
      </c>
      <c r="P313" s="2" t="s">
        <v>24</v>
      </c>
    </row>
    <row r="314" spans="1:16" x14ac:dyDescent="0.25">
      <c r="A314" s="4">
        <v>45051</v>
      </c>
      <c r="B314" s="2" t="s">
        <v>692</v>
      </c>
      <c r="C314" s="2" t="s">
        <v>194</v>
      </c>
      <c r="D314" t="s">
        <v>53</v>
      </c>
      <c r="E314" s="2" t="s">
        <v>53</v>
      </c>
      <c r="F314" s="2" t="s">
        <v>28</v>
      </c>
      <c r="G314" s="2" t="s">
        <v>90</v>
      </c>
      <c r="H314" s="2" t="s">
        <v>333</v>
      </c>
      <c r="I314" s="2">
        <v>1</v>
      </c>
      <c r="J314" s="2">
        <v>2286</v>
      </c>
      <c r="K314" s="2">
        <v>10</v>
      </c>
      <c r="L314" s="2">
        <v>228.6</v>
      </c>
      <c r="M314" s="2">
        <v>2057.4</v>
      </c>
      <c r="N314" s="2" t="s">
        <v>50</v>
      </c>
      <c r="O314" s="2">
        <v>2</v>
      </c>
      <c r="P314" s="2" t="s">
        <v>24</v>
      </c>
    </row>
    <row r="315" spans="1:16" x14ac:dyDescent="0.25">
      <c r="A315" s="4">
        <v>45052</v>
      </c>
      <c r="B315" s="2" t="s">
        <v>693</v>
      </c>
      <c r="C315" s="2" t="s">
        <v>658</v>
      </c>
      <c r="D315" t="s">
        <v>59</v>
      </c>
      <c r="E315" s="2" t="s">
        <v>60</v>
      </c>
      <c r="F315" s="2" t="s">
        <v>35</v>
      </c>
      <c r="G315" s="2" t="s">
        <v>80</v>
      </c>
      <c r="H315" s="2" t="s">
        <v>274</v>
      </c>
      <c r="I315" s="2">
        <v>1</v>
      </c>
      <c r="J315" s="2">
        <v>39320</v>
      </c>
      <c r="K315" s="2">
        <v>0</v>
      </c>
      <c r="L315" s="2">
        <v>0</v>
      </c>
      <c r="M315" s="2">
        <v>39320</v>
      </c>
      <c r="N315" s="2" t="s">
        <v>56</v>
      </c>
      <c r="O315" s="2">
        <v>1</v>
      </c>
      <c r="P315" s="2" t="s">
        <v>24</v>
      </c>
    </row>
    <row r="316" spans="1:16" x14ac:dyDescent="0.25">
      <c r="A316" s="4">
        <v>45053</v>
      </c>
      <c r="B316" s="2" t="s">
        <v>694</v>
      </c>
      <c r="C316" s="2" t="s">
        <v>691</v>
      </c>
      <c r="D316" t="s">
        <v>59</v>
      </c>
      <c r="E316" s="2" t="s">
        <v>60</v>
      </c>
      <c r="F316" s="2" t="s">
        <v>71</v>
      </c>
      <c r="G316" s="2" t="s">
        <v>86</v>
      </c>
      <c r="H316" s="2" t="s">
        <v>392</v>
      </c>
      <c r="I316" s="2">
        <v>2</v>
      </c>
      <c r="J316" s="2">
        <v>1292</v>
      </c>
      <c r="K316" s="2">
        <v>20</v>
      </c>
      <c r="L316" s="2">
        <v>516.79999999999995</v>
      </c>
      <c r="M316" s="2">
        <v>2067.1999999999998</v>
      </c>
      <c r="N316" s="2" t="s">
        <v>44</v>
      </c>
      <c r="O316" s="2">
        <v>2</v>
      </c>
      <c r="P316" s="2" t="s">
        <v>24</v>
      </c>
    </row>
    <row r="317" spans="1:16" x14ac:dyDescent="0.25">
      <c r="A317" s="4">
        <v>45054</v>
      </c>
      <c r="B317" s="2" t="s">
        <v>695</v>
      </c>
      <c r="C317" s="2" t="s">
        <v>523</v>
      </c>
      <c r="D317" t="s">
        <v>41</v>
      </c>
      <c r="E317" s="2" t="s">
        <v>19</v>
      </c>
      <c r="F317" s="2" t="s">
        <v>28</v>
      </c>
      <c r="G317" s="2" t="s">
        <v>29</v>
      </c>
      <c r="H317" s="2" t="s">
        <v>477</v>
      </c>
      <c r="I317" s="2">
        <v>1</v>
      </c>
      <c r="J317" s="2">
        <v>4114</v>
      </c>
      <c r="K317" s="2">
        <v>0</v>
      </c>
      <c r="L317" s="2">
        <v>0</v>
      </c>
      <c r="M317" s="2">
        <v>4114</v>
      </c>
      <c r="N317" s="2" t="s">
        <v>50</v>
      </c>
      <c r="O317" s="2">
        <v>1</v>
      </c>
      <c r="P317" s="2" t="s">
        <v>24</v>
      </c>
    </row>
    <row r="318" spans="1:16" x14ac:dyDescent="0.25">
      <c r="A318" s="4">
        <v>45055</v>
      </c>
      <c r="B318" s="2" t="s">
        <v>696</v>
      </c>
      <c r="C318" s="2" t="s">
        <v>697</v>
      </c>
      <c r="D318" t="s">
        <v>27</v>
      </c>
      <c r="E318" s="2" t="s">
        <v>19</v>
      </c>
      <c r="F318" s="2" t="s">
        <v>61</v>
      </c>
      <c r="G318" s="2" t="s">
        <v>62</v>
      </c>
      <c r="H318" s="2" t="s">
        <v>414</v>
      </c>
      <c r="I318" s="2">
        <v>1</v>
      </c>
      <c r="J318" s="2">
        <v>1755</v>
      </c>
      <c r="K318" s="2">
        <v>5</v>
      </c>
      <c r="L318" s="2">
        <v>87.75</v>
      </c>
      <c r="M318" s="2">
        <v>1667.25</v>
      </c>
      <c r="N318" s="2" t="s">
        <v>23</v>
      </c>
      <c r="O318" s="2">
        <v>2</v>
      </c>
      <c r="P318" s="2" t="s">
        <v>24</v>
      </c>
    </row>
    <row r="319" spans="1:16" x14ac:dyDescent="0.25">
      <c r="A319" s="4">
        <v>45056</v>
      </c>
      <c r="B319" s="2" t="s">
        <v>698</v>
      </c>
      <c r="C319" s="2" t="s">
        <v>276</v>
      </c>
      <c r="D319" t="s">
        <v>18</v>
      </c>
      <c r="E319" s="2" t="s">
        <v>19</v>
      </c>
      <c r="F319" s="2" t="s">
        <v>61</v>
      </c>
      <c r="G319" s="2" t="s">
        <v>250</v>
      </c>
      <c r="H319" s="2" t="s">
        <v>591</v>
      </c>
      <c r="I319" s="2">
        <v>1</v>
      </c>
      <c r="J319" s="2">
        <v>619</v>
      </c>
      <c r="K319" s="2">
        <v>10</v>
      </c>
      <c r="L319" s="2">
        <v>61.9</v>
      </c>
      <c r="M319" s="2">
        <v>557.1</v>
      </c>
      <c r="N319" s="2" t="s">
        <v>50</v>
      </c>
      <c r="O319" s="2">
        <v>3</v>
      </c>
      <c r="P319" s="2" t="s">
        <v>24</v>
      </c>
    </row>
    <row r="320" spans="1:16" x14ac:dyDescent="0.25">
      <c r="A320" s="4">
        <v>45057</v>
      </c>
      <c r="B320" s="2" t="s">
        <v>699</v>
      </c>
      <c r="C320" s="2" t="s">
        <v>223</v>
      </c>
      <c r="D320" t="s">
        <v>33</v>
      </c>
      <c r="E320" s="2" t="s">
        <v>34</v>
      </c>
      <c r="F320" s="2" t="s">
        <v>61</v>
      </c>
      <c r="G320" s="2" t="s">
        <v>62</v>
      </c>
      <c r="H320" s="2" t="s">
        <v>63</v>
      </c>
      <c r="I320" s="2">
        <v>1</v>
      </c>
      <c r="J320" s="2">
        <v>1375</v>
      </c>
      <c r="K320" s="2">
        <v>5</v>
      </c>
      <c r="L320" s="2">
        <v>68.75</v>
      </c>
      <c r="M320" s="2">
        <v>1306.25</v>
      </c>
      <c r="N320" s="2" t="s">
        <v>23</v>
      </c>
      <c r="O320" s="2">
        <v>3</v>
      </c>
      <c r="P320" s="2" t="s">
        <v>24</v>
      </c>
    </row>
    <row r="321" spans="1:16" x14ac:dyDescent="0.25">
      <c r="A321" s="4">
        <v>45058</v>
      </c>
      <c r="B321" s="2" t="s">
        <v>700</v>
      </c>
      <c r="C321" s="2" t="s">
        <v>701</v>
      </c>
      <c r="D321" t="s">
        <v>27</v>
      </c>
      <c r="E321" s="2" t="s">
        <v>19</v>
      </c>
      <c r="F321" s="2" t="s">
        <v>35</v>
      </c>
      <c r="G321" s="2" t="s">
        <v>124</v>
      </c>
      <c r="H321" s="2" t="s">
        <v>399</v>
      </c>
      <c r="I321" s="2">
        <v>1</v>
      </c>
      <c r="J321" s="2">
        <v>13962</v>
      </c>
      <c r="K321" s="2">
        <v>0</v>
      </c>
      <c r="L321" s="2">
        <v>0</v>
      </c>
      <c r="M321" s="2">
        <v>13962</v>
      </c>
      <c r="N321" s="2" t="s">
        <v>56</v>
      </c>
      <c r="O321" s="2">
        <v>2</v>
      </c>
      <c r="P321" s="2" t="s">
        <v>24</v>
      </c>
    </row>
    <row r="322" spans="1:16" x14ac:dyDescent="0.25">
      <c r="A322" s="4">
        <v>45059</v>
      </c>
      <c r="B322" s="2" t="s">
        <v>702</v>
      </c>
      <c r="C322" s="2" t="s">
        <v>703</v>
      </c>
      <c r="D322" t="s">
        <v>41</v>
      </c>
      <c r="E322" s="2" t="s">
        <v>19</v>
      </c>
      <c r="F322" s="2" t="s">
        <v>20</v>
      </c>
      <c r="G322" s="2" t="s">
        <v>42</v>
      </c>
      <c r="H322" s="2" t="s">
        <v>278</v>
      </c>
      <c r="I322" s="2">
        <v>3</v>
      </c>
      <c r="J322" s="2">
        <v>3685</v>
      </c>
      <c r="K322" s="2">
        <v>5</v>
      </c>
      <c r="L322" s="2">
        <v>552.75</v>
      </c>
      <c r="M322" s="2">
        <v>10502.25</v>
      </c>
      <c r="N322" s="2" t="s">
        <v>50</v>
      </c>
      <c r="O322" s="2">
        <v>3</v>
      </c>
      <c r="P322" s="2" t="s">
        <v>24</v>
      </c>
    </row>
    <row r="323" spans="1:16" x14ac:dyDescent="0.25">
      <c r="A323" s="4">
        <v>45060</v>
      </c>
      <c r="B323" s="2" t="s">
        <v>704</v>
      </c>
      <c r="C323" s="2" t="s">
        <v>701</v>
      </c>
      <c r="D323" t="s">
        <v>47</v>
      </c>
      <c r="E323" s="2" t="s">
        <v>48</v>
      </c>
      <c r="F323" s="2" t="s">
        <v>61</v>
      </c>
      <c r="G323" s="2" t="s">
        <v>62</v>
      </c>
      <c r="H323" s="2" t="s">
        <v>534</v>
      </c>
      <c r="I323" s="2">
        <v>2</v>
      </c>
      <c r="J323" s="2">
        <v>589</v>
      </c>
      <c r="K323" s="2">
        <v>5</v>
      </c>
      <c r="L323" s="2">
        <v>58.9</v>
      </c>
      <c r="M323" s="2">
        <v>1119.0999999999999</v>
      </c>
      <c r="N323" s="2" t="s">
        <v>23</v>
      </c>
      <c r="O323" s="2">
        <v>3</v>
      </c>
      <c r="P323" s="2" t="s">
        <v>24</v>
      </c>
    </row>
    <row r="324" spans="1:16" x14ac:dyDescent="0.25">
      <c r="A324" s="4">
        <v>45061</v>
      </c>
      <c r="B324" s="2" t="s">
        <v>705</v>
      </c>
      <c r="C324" s="2" t="s">
        <v>706</v>
      </c>
      <c r="D324" t="s">
        <v>174</v>
      </c>
      <c r="E324" s="2" t="s">
        <v>60</v>
      </c>
      <c r="F324" s="2" t="s">
        <v>61</v>
      </c>
      <c r="G324" s="2" t="s">
        <v>262</v>
      </c>
      <c r="H324" s="2" t="s">
        <v>482</v>
      </c>
      <c r="I324" s="2">
        <v>2</v>
      </c>
      <c r="J324" s="2">
        <v>281</v>
      </c>
      <c r="K324" s="2">
        <v>0</v>
      </c>
      <c r="L324" s="2">
        <v>0</v>
      </c>
      <c r="M324" s="2">
        <v>562</v>
      </c>
      <c r="N324" s="2" t="s">
        <v>23</v>
      </c>
      <c r="O324" s="2">
        <v>1</v>
      </c>
      <c r="P324" s="2" t="s">
        <v>24</v>
      </c>
    </row>
    <row r="325" spans="1:16" x14ac:dyDescent="0.25">
      <c r="A325" s="4">
        <v>45062</v>
      </c>
      <c r="B325" s="2" t="s">
        <v>707</v>
      </c>
      <c r="C325" s="2" t="s">
        <v>708</v>
      </c>
      <c r="D325" t="s">
        <v>41</v>
      </c>
      <c r="E325" s="2" t="s">
        <v>19</v>
      </c>
      <c r="F325" s="2" t="s">
        <v>71</v>
      </c>
      <c r="G325" s="2" t="s">
        <v>72</v>
      </c>
      <c r="H325" s="2" t="s">
        <v>511</v>
      </c>
      <c r="I325" s="2">
        <v>1</v>
      </c>
      <c r="J325" s="2">
        <v>463</v>
      </c>
      <c r="K325" s="2">
        <v>15</v>
      </c>
      <c r="L325" s="2">
        <v>69.45</v>
      </c>
      <c r="M325" s="2">
        <v>393.55</v>
      </c>
      <c r="N325" s="2" t="s">
        <v>44</v>
      </c>
      <c r="O325" s="2">
        <v>6</v>
      </c>
      <c r="P325" s="2" t="s">
        <v>92</v>
      </c>
    </row>
    <row r="326" spans="1:16" x14ac:dyDescent="0.25">
      <c r="A326" s="4">
        <v>45063</v>
      </c>
      <c r="B326" s="2" t="s">
        <v>709</v>
      </c>
      <c r="C326" s="2" t="s">
        <v>314</v>
      </c>
      <c r="D326" t="s">
        <v>27</v>
      </c>
      <c r="E326" s="2" t="s">
        <v>19</v>
      </c>
      <c r="F326" s="2" t="s">
        <v>28</v>
      </c>
      <c r="G326" s="2" t="s">
        <v>29</v>
      </c>
      <c r="H326" s="2" t="s">
        <v>488</v>
      </c>
      <c r="I326" s="2">
        <v>1</v>
      </c>
      <c r="J326" s="2">
        <v>2359</v>
      </c>
      <c r="K326" s="2">
        <v>0</v>
      </c>
      <c r="L326" s="2">
        <v>0</v>
      </c>
      <c r="M326" s="2">
        <v>2359</v>
      </c>
      <c r="N326" s="2" t="s">
        <v>23</v>
      </c>
      <c r="O326" s="2">
        <v>2</v>
      </c>
      <c r="P326" s="2" t="s">
        <v>24</v>
      </c>
    </row>
    <row r="327" spans="1:16" x14ac:dyDescent="0.25">
      <c r="A327" s="4">
        <v>45064</v>
      </c>
      <c r="B327" s="2" t="s">
        <v>710</v>
      </c>
      <c r="C327" s="2" t="s">
        <v>559</v>
      </c>
      <c r="D327" t="s">
        <v>59</v>
      </c>
      <c r="E327" s="2" t="s">
        <v>60</v>
      </c>
      <c r="F327" s="2" t="s">
        <v>71</v>
      </c>
      <c r="G327" s="2" t="s">
        <v>76</v>
      </c>
      <c r="H327" s="2" t="s">
        <v>402</v>
      </c>
      <c r="I327" s="2">
        <v>1</v>
      </c>
      <c r="J327" s="2">
        <v>1195</v>
      </c>
      <c r="K327" s="2">
        <v>15</v>
      </c>
      <c r="L327" s="2">
        <v>179.25</v>
      </c>
      <c r="M327" s="2">
        <v>1015.75</v>
      </c>
      <c r="N327" s="2" t="s">
        <v>23</v>
      </c>
      <c r="O327" s="2">
        <v>5</v>
      </c>
      <c r="P327" s="2" t="s">
        <v>24</v>
      </c>
    </row>
    <row r="328" spans="1:16" x14ac:dyDescent="0.25">
      <c r="A328" s="4">
        <v>45065</v>
      </c>
      <c r="B328" s="2" t="s">
        <v>711</v>
      </c>
      <c r="C328" s="2" t="s">
        <v>681</v>
      </c>
      <c r="D328" t="s">
        <v>66</v>
      </c>
      <c r="E328" s="2" t="s">
        <v>19</v>
      </c>
      <c r="F328" s="2" t="s">
        <v>61</v>
      </c>
      <c r="G328" s="2" t="s">
        <v>250</v>
      </c>
      <c r="H328" s="2" t="s">
        <v>366</v>
      </c>
      <c r="I328" s="2">
        <v>1</v>
      </c>
      <c r="J328" s="2">
        <v>1294</v>
      </c>
      <c r="K328" s="2">
        <v>5</v>
      </c>
      <c r="L328" s="2">
        <v>64.7</v>
      </c>
      <c r="M328" s="2">
        <v>1229.3</v>
      </c>
      <c r="N328" s="2" t="s">
        <v>23</v>
      </c>
      <c r="O328" s="2">
        <v>1</v>
      </c>
      <c r="P328" s="2" t="s">
        <v>24</v>
      </c>
    </row>
    <row r="329" spans="1:16" x14ac:dyDescent="0.25">
      <c r="A329" s="4">
        <v>45066</v>
      </c>
      <c r="B329" s="2" t="s">
        <v>712</v>
      </c>
      <c r="C329" s="2" t="s">
        <v>713</v>
      </c>
      <c r="D329" t="s">
        <v>27</v>
      </c>
      <c r="E329" s="2" t="s">
        <v>19</v>
      </c>
      <c r="F329" s="2" t="s">
        <v>71</v>
      </c>
      <c r="G329" s="2" t="s">
        <v>72</v>
      </c>
      <c r="H329" s="2" t="s">
        <v>159</v>
      </c>
      <c r="I329" s="2">
        <v>3</v>
      </c>
      <c r="J329" s="2">
        <v>745</v>
      </c>
      <c r="K329" s="2">
        <v>20</v>
      </c>
      <c r="L329" s="2">
        <v>447</v>
      </c>
      <c r="M329" s="2">
        <v>1788</v>
      </c>
      <c r="N329" s="2" t="s">
        <v>50</v>
      </c>
      <c r="O329" s="2">
        <v>2</v>
      </c>
      <c r="P329" s="2" t="s">
        <v>24</v>
      </c>
    </row>
    <row r="330" spans="1:16" x14ac:dyDescent="0.25">
      <c r="A330" s="4">
        <v>45067</v>
      </c>
      <c r="B330" s="2" t="s">
        <v>714</v>
      </c>
      <c r="C330" s="2" t="s">
        <v>169</v>
      </c>
      <c r="D330" t="s">
        <v>66</v>
      </c>
      <c r="E330" s="2" t="s">
        <v>19</v>
      </c>
      <c r="F330" s="2" t="s">
        <v>35</v>
      </c>
      <c r="G330" s="2" t="s">
        <v>130</v>
      </c>
      <c r="H330" s="2" t="s">
        <v>247</v>
      </c>
      <c r="I330" s="2">
        <v>1</v>
      </c>
      <c r="J330" s="2">
        <v>14942</v>
      </c>
      <c r="K330" s="2">
        <v>20</v>
      </c>
      <c r="L330" s="2">
        <v>2988.4</v>
      </c>
      <c r="M330" s="2">
        <v>11953.6</v>
      </c>
      <c r="N330" s="2" t="s">
        <v>50</v>
      </c>
      <c r="O330" s="2">
        <v>1</v>
      </c>
      <c r="P330" s="2" t="s">
        <v>24</v>
      </c>
    </row>
    <row r="331" spans="1:16" x14ac:dyDescent="0.25">
      <c r="A331" s="4">
        <v>45068</v>
      </c>
      <c r="B331" s="2" t="s">
        <v>715</v>
      </c>
      <c r="C331" s="2" t="s">
        <v>127</v>
      </c>
      <c r="D331" t="s">
        <v>59</v>
      </c>
      <c r="E331" s="2" t="s">
        <v>60</v>
      </c>
      <c r="F331" s="2" t="s">
        <v>20</v>
      </c>
      <c r="G331" s="2" t="s">
        <v>54</v>
      </c>
      <c r="H331" s="2" t="s">
        <v>441</v>
      </c>
      <c r="I331" s="2">
        <v>3</v>
      </c>
      <c r="J331" s="2">
        <v>3196</v>
      </c>
      <c r="K331" s="2">
        <v>0</v>
      </c>
      <c r="L331" s="2">
        <v>0</v>
      </c>
      <c r="M331" s="2">
        <v>9588</v>
      </c>
      <c r="N331" s="2" t="s">
        <v>44</v>
      </c>
      <c r="O331" s="2">
        <v>4</v>
      </c>
      <c r="P331" s="2" t="s">
        <v>24</v>
      </c>
    </row>
    <row r="332" spans="1:16" x14ac:dyDescent="0.25">
      <c r="A332" s="4">
        <v>45069</v>
      </c>
      <c r="B332" s="2" t="s">
        <v>716</v>
      </c>
      <c r="C332" s="2" t="s">
        <v>475</v>
      </c>
      <c r="D332" t="s">
        <v>53</v>
      </c>
      <c r="E332" s="2" t="s">
        <v>53</v>
      </c>
      <c r="F332" s="2" t="s">
        <v>28</v>
      </c>
      <c r="G332" s="2" t="s">
        <v>289</v>
      </c>
      <c r="H332" s="2" t="s">
        <v>439</v>
      </c>
      <c r="I332" s="2">
        <v>1</v>
      </c>
      <c r="J332" s="2">
        <v>3316</v>
      </c>
      <c r="K332" s="2">
        <v>0</v>
      </c>
      <c r="L332" s="2">
        <v>0</v>
      </c>
      <c r="M332" s="2">
        <v>3316</v>
      </c>
      <c r="N332" s="2" t="s">
        <v>23</v>
      </c>
      <c r="O332" s="2">
        <v>5</v>
      </c>
      <c r="P332" s="2" t="s">
        <v>24</v>
      </c>
    </row>
    <row r="333" spans="1:16" x14ac:dyDescent="0.25">
      <c r="A333" s="4">
        <v>45070</v>
      </c>
      <c r="B333" s="2" t="s">
        <v>717</v>
      </c>
      <c r="C333" s="2" t="s">
        <v>308</v>
      </c>
      <c r="D333" t="s">
        <v>27</v>
      </c>
      <c r="E333" s="2" t="s">
        <v>19</v>
      </c>
      <c r="F333" s="2" t="s">
        <v>35</v>
      </c>
      <c r="G333" s="2" t="s">
        <v>36</v>
      </c>
      <c r="H333" s="2" t="s">
        <v>98</v>
      </c>
      <c r="I333" s="2">
        <v>1</v>
      </c>
      <c r="J333" s="2">
        <v>32766</v>
      </c>
      <c r="K333" s="2">
        <v>0</v>
      </c>
      <c r="L333" s="2">
        <v>0</v>
      </c>
      <c r="M333" s="2">
        <v>32766</v>
      </c>
      <c r="N333" s="2" t="s">
        <v>23</v>
      </c>
      <c r="O333" s="2">
        <v>3</v>
      </c>
      <c r="P333" s="2" t="s">
        <v>24</v>
      </c>
    </row>
    <row r="334" spans="1:16" x14ac:dyDescent="0.25">
      <c r="A334" s="4">
        <v>45071</v>
      </c>
      <c r="B334" s="2" t="s">
        <v>718</v>
      </c>
      <c r="C334" s="2" t="s">
        <v>719</v>
      </c>
      <c r="D334" t="s">
        <v>59</v>
      </c>
      <c r="E334" s="2" t="s">
        <v>60</v>
      </c>
      <c r="F334" s="2" t="s">
        <v>61</v>
      </c>
      <c r="G334" s="2" t="s">
        <v>250</v>
      </c>
      <c r="H334" s="2" t="s">
        <v>366</v>
      </c>
      <c r="I334" s="2">
        <v>1</v>
      </c>
      <c r="J334" s="2">
        <v>396</v>
      </c>
      <c r="K334" s="2">
        <v>5</v>
      </c>
      <c r="L334" s="2">
        <v>19.8</v>
      </c>
      <c r="M334" s="2">
        <v>376.2</v>
      </c>
      <c r="N334" s="2" t="s">
        <v>23</v>
      </c>
      <c r="O334" s="2">
        <v>1</v>
      </c>
      <c r="P334" s="2" t="s">
        <v>24</v>
      </c>
    </row>
    <row r="335" spans="1:16" x14ac:dyDescent="0.25">
      <c r="A335" s="4">
        <v>45072</v>
      </c>
      <c r="B335" s="2" t="s">
        <v>720</v>
      </c>
      <c r="C335" s="2" t="s">
        <v>655</v>
      </c>
      <c r="D335" t="s">
        <v>59</v>
      </c>
      <c r="E335" s="2" t="s">
        <v>60</v>
      </c>
      <c r="F335" s="2" t="s">
        <v>71</v>
      </c>
      <c r="G335" s="2" t="s">
        <v>114</v>
      </c>
      <c r="H335" s="2" t="s">
        <v>178</v>
      </c>
      <c r="I335" s="2">
        <v>1</v>
      </c>
      <c r="J335" s="2">
        <v>535</v>
      </c>
      <c r="K335" s="2">
        <v>0</v>
      </c>
      <c r="L335" s="2">
        <v>0</v>
      </c>
      <c r="M335" s="2">
        <v>535</v>
      </c>
      <c r="N335" s="2" t="s">
        <v>38</v>
      </c>
      <c r="O335" s="2">
        <v>2</v>
      </c>
      <c r="P335" s="2" t="s">
        <v>24</v>
      </c>
    </row>
    <row r="336" spans="1:16" x14ac:dyDescent="0.25">
      <c r="A336" s="4">
        <v>45073</v>
      </c>
      <c r="B336" s="2" t="s">
        <v>721</v>
      </c>
      <c r="C336" s="2" t="s">
        <v>58</v>
      </c>
      <c r="D336" t="s">
        <v>59</v>
      </c>
      <c r="E336" s="2" t="s">
        <v>60</v>
      </c>
      <c r="F336" s="2" t="s">
        <v>28</v>
      </c>
      <c r="G336" s="2" t="s">
        <v>188</v>
      </c>
      <c r="H336" s="2" t="s">
        <v>418</v>
      </c>
      <c r="I336" s="2">
        <v>1</v>
      </c>
      <c r="J336" s="2">
        <v>2690</v>
      </c>
      <c r="K336" s="2">
        <v>0</v>
      </c>
      <c r="L336" s="2">
        <v>0</v>
      </c>
      <c r="M336" s="2">
        <v>2690</v>
      </c>
      <c r="N336" s="2" t="s">
        <v>56</v>
      </c>
      <c r="O336" s="2">
        <v>2</v>
      </c>
      <c r="P336" s="2" t="s">
        <v>24</v>
      </c>
    </row>
    <row r="337" spans="1:16" x14ac:dyDescent="0.25">
      <c r="A337" s="4">
        <v>45074</v>
      </c>
      <c r="B337" s="2" t="s">
        <v>722</v>
      </c>
      <c r="C337" s="2" t="s">
        <v>723</v>
      </c>
      <c r="D337" t="s">
        <v>53</v>
      </c>
      <c r="E337" s="2" t="s">
        <v>53</v>
      </c>
      <c r="F337" s="2" t="s">
        <v>71</v>
      </c>
      <c r="G337" s="2" t="s">
        <v>106</v>
      </c>
      <c r="H337" s="2" t="s">
        <v>183</v>
      </c>
      <c r="I337" s="2">
        <v>1</v>
      </c>
      <c r="J337" s="2">
        <v>411</v>
      </c>
      <c r="K337" s="2">
        <v>5</v>
      </c>
      <c r="L337" s="2">
        <v>20.55</v>
      </c>
      <c r="M337" s="2">
        <v>390.45</v>
      </c>
      <c r="N337" s="2" t="s">
        <v>23</v>
      </c>
      <c r="O337" s="2">
        <v>4</v>
      </c>
      <c r="P337" s="2" t="s">
        <v>24</v>
      </c>
    </row>
    <row r="338" spans="1:16" x14ac:dyDescent="0.25">
      <c r="A338" s="4">
        <v>45075</v>
      </c>
      <c r="B338" s="2" t="s">
        <v>724</v>
      </c>
      <c r="C338" s="2" t="s">
        <v>691</v>
      </c>
      <c r="D338" t="s">
        <v>27</v>
      </c>
      <c r="E338" s="2" t="s">
        <v>19</v>
      </c>
      <c r="F338" s="2" t="s">
        <v>20</v>
      </c>
      <c r="G338" s="2" t="s">
        <v>170</v>
      </c>
      <c r="H338" s="2" t="s">
        <v>538</v>
      </c>
      <c r="I338" s="2">
        <v>1</v>
      </c>
      <c r="J338" s="2">
        <v>3563</v>
      </c>
      <c r="K338" s="2">
        <v>0</v>
      </c>
      <c r="L338" s="2">
        <v>0</v>
      </c>
      <c r="M338" s="2">
        <v>3563</v>
      </c>
      <c r="N338" s="2" t="s">
        <v>23</v>
      </c>
      <c r="O338" s="2">
        <v>2</v>
      </c>
      <c r="P338" s="2" t="s">
        <v>24</v>
      </c>
    </row>
    <row r="339" spans="1:16" x14ac:dyDescent="0.25">
      <c r="A339" s="4">
        <v>45076</v>
      </c>
      <c r="B339" s="2" t="s">
        <v>725</v>
      </c>
      <c r="C339" s="2" t="s">
        <v>726</v>
      </c>
      <c r="D339" t="s">
        <v>66</v>
      </c>
      <c r="E339" s="2" t="s">
        <v>19</v>
      </c>
      <c r="F339" s="2" t="s">
        <v>20</v>
      </c>
      <c r="G339" s="2" t="s">
        <v>139</v>
      </c>
      <c r="H339" s="2" t="s">
        <v>727</v>
      </c>
      <c r="I339" s="2">
        <v>1</v>
      </c>
      <c r="J339" s="2">
        <v>3119</v>
      </c>
      <c r="K339" s="2">
        <v>0</v>
      </c>
      <c r="L339" s="2">
        <v>0</v>
      </c>
      <c r="M339" s="2">
        <v>3119</v>
      </c>
      <c r="N339" s="2" t="s">
        <v>44</v>
      </c>
      <c r="O339" s="2">
        <v>8</v>
      </c>
      <c r="P339" s="2" t="s">
        <v>92</v>
      </c>
    </row>
    <row r="340" spans="1:16" x14ac:dyDescent="0.25">
      <c r="A340" s="4">
        <v>45077</v>
      </c>
      <c r="B340" s="2" t="s">
        <v>728</v>
      </c>
      <c r="C340" s="2" t="s">
        <v>729</v>
      </c>
      <c r="D340" t="s">
        <v>174</v>
      </c>
      <c r="E340" s="2" t="s">
        <v>60</v>
      </c>
      <c r="F340" s="2" t="s">
        <v>20</v>
      </c>
      <c r="G340" s="2" t="s">
        <v>139</v>
      </c>
      <c r="H340" s="2" t="s">
        <v>727</v>
      </c>
      <c r="I340" s="2">
        <v>1</v>
      </c>
      <c r="J340" s="2">
        <v>7587</v>
      </c>
      <c r="K340" s="2">
        <v>10</v>
      </c>
      <c r="L340" s="2">
        <v>758.7</v>
      </c>
      <c r="M340" s="2">
        <v>6828.3</v>
      </c>
      <c r="N340" s="2" t="s">
        <v>50</v>
      </c>
      <c r="O340" s="2">
        <v>5</v>
      </c>
      <c r="P340" s="2" t="s">
        <v>24</v>
      </c>
    </row>
    <row r="341" spans="1:16" x14ac:dyDescent="0.25">
      <c r="A341" s="4">
        <v>45078</v>
      </c>
      <c r="B341" s="2" t="s">
        <v>730</v>
      </c>
      <c r="C341" s="2" t="s">
        <v>32</v>
      </c>
      <c r="D341" t="s">
        <v>59</v>
      </c>
      <c r="E341" s="2" t="s">
        <v>60</v>
      </c>
      <c r="F341" s="2" t="s">
        <v>71</v>
      </c>
      <c r="G341" s="2" t="s">
        <v>86</v>
      </c>
      <c r="H341" s="2" t="s">
        <v>87</v>
      </c>
      <c r="I341" s="2">
        <v>2</v>
      </c>
      <c r="J341" s="2">
        <v>517</v>
      </c>
      <c r="K341" s="2">
        <v>5</v>
      </c>
      <c r="L341" s="2">
        <v>51.7</v>
      </c>
      <c r="M341" s="2">
        <v>982.3</v>
      </c>
      <c r="N341" s="2" t="s">
        <v>56</v>
      </c>
      <c r="O341" s="2">
        <v>3</v>
      </c>
      <c r="P341" s="2" t="s">
        <v>24</v>
      </c>
    </row>
    <row r="342" spans="1:16" x14ac:dyDescent="0.25">
      <c r="A342" s="4">
        <v>45079</v>
      </c>
      <c r="B342" s="2" t="s">
        <v>731</v>
      </c>
      <c r="C342" s="2" t="s">
        <v>559</v>
      </c>
      <c r="D342" t="s">
        <v>84</v>
      </c>
      <c r="E342" s="2" t="s">
        <v>85</v>
      </c>
      <c r="F342" s="2" t="s">
        <v>61</v>
      </c>
      <c r="G342" s="2" t="s">
        <v>200</v>
      </c>
      <c r="H342" s="2" t="s">
        <v>473</v>
      </c>
      <c r="I342" s="2">
        <v>1</v>
      </c>
      <c r="J342" s="2">
        <v>526</v>
      </c>
      <c r="K342" s="2">
        <v>0</v>
      </c>
      <c r="L342" s="2">
        <v>0</v>
      </c>
      <c r="M342" s="2">
        <v>526</v>
      </c>
      <c r="N342" s="2" t="s">
        <v>23</v>
      </c>
      <c r="O342" s="2">
        <v>2</v>
      </c>
      <c r="P342" s="2" t="s">
        <v>24</v>
      </c>
    </row>
    <row r="343" spans="1:16" x14ac:dyDescent="0.25">
      <c r="A343" s="4">
        <v>45080</v>
      </c>
      <c r="B343" s="2" t="s">
        <v>732</v>
      </c>
      <c r="C343" s="2" t="s">
        <v>249</v>
      </c>
      <c r="D343" t="s">
        <v>53</v>
      </c>
      <c r="E343" s="2" t="s">
        <v>53</v>
      </c>
      <c r="F343" s="2" t="s">
        <v>28</v>
      </c>
      <c r="G343" s="2" t="s">
        <v>188</v>
      </c>
      <c r="H343" s="2" t="s">
        <v>206</v>
      </c>
      <c r="I343" s="2">
        <v>1</v>
      </c>
      <c r="J343" s="2">
        <v>4892</v>
      </c>
      <c r="K343" s="2">
        <v>5</v>
      </c>
      <c r="L343" s="2">
        <v>244.6</v>
      </c>
      <c r="M343" s="2">
        <v>4647.3999999999996</v>
      </c>
      <c r="N343" s="2" t="s">
        <v>38</v>
      </c>
      <c r="O343" s="2">
        <v>1</v>
      </c>
      <c r="P343" s="2" t="s">
        <v>24</v>
      </c>
    </row>
    <row r="344" spans="1:16" x14ac:dyDescent="0.25">
      <c r="A344" s="4">
        <v>45081</v>
      </c>
      <c r="B344" s="2" t="s">
        <v>733</v>
      </c>
      <c r="C344" s="2" t="s">
        <v>242</v>
      </c>
      <c r="D344" t="s">
        <v>33</v>
      </c>
      <c r="E344" s="2" t="s">
        <v>34</v>
      </c>
      <c r="F344" s="2" t="s">
        <v>61</v>
      </c>
      <c r="G344" s="2" t="s">
        <v>200</v>
      </c>
      <c r="H344" s="2" t="s">
        <v>331</v>
      </c>
      <c r="I344" s="2">
        <v>1</v>
      </c>
      <c r="J344" s="2">
        <v>408</v>
      </c>
      <c r="K344" s="2">
        <v>5</v>
      </c>
      <c r="L344" s="2">
        <v>20.399999999999999</v>
      </c>
      <c r="M344" s="2">
        <v>387.6</v>
      </c>
      <c r="N344" s="2" t="s">
        <v>23</v>
      </c>
      <c r="O344" s="2">
        <v>1</v>
      </c>
      <c r="P344" s="2" t="s">
        <v>24</v>
      </c>
    </row>
    <row r="345" spans="1:16" x14ac:dyDescent="0.25">
      <c r="A345" s="4">
        <v>45082</v>
      </c>
      <c r="B345" s="2" t="s">
        <v>734</v>
      </c>
      <c r="C345" s="2" t="s">
        <v>735</v>
      </c>
      <c r="D345" t="s">
        <v>66</v>
      </c>
      <c r="E345" s="2" t="s">
        <v>19</v>
      </c>
      <c r="F345" s="2" t="s">
        <v>61</v>
      </c>
      <c r="G345" s="2" t="s">
        <v>250</v>
      </c>
      <c r="H345" s="2" t="s">
        <v>256</v>
      </c>
      <c r="I345" s="2">
        <v>1</v>
      </c>
      <c r="J345" s="2">
        <v>1360</v>
      </c>
      <c r="K345" s="2">
        <v>5</v>
      </c>
      <c r="L345" s="2">
        <v>68</v>
      </c>
      <c r="M345" s="2">
        <v>1292</v>
      </c>
      <c r="N345" s="2" t="s">
        <v>44</v>
      </c>
      <c r="O345" s="2">
        <v>8</v>
      </c>
      <c r="P345" s="2" t="s">
        <v>24</v>
      </c>
    </row>
    <row r="346" spans="1:16" x14ac:dyDescent="0.25">
      <c r="A346" s="4">
        <v>45083</v>
      </c>
      <c r="B346" s="2" t="s">
        <v>736</v>
      </c>
      <c r="C346" s="2" t="s">
        <v>737</v>
      </c>
      <c r="D346" t="s">
        <v>84</v>
      </c>
      <c r="E346" s="2" t="s">
        <v>85</v>
      </c>
      <c r="F346" s="2" t="s">
        <v>20</v>
      </c>
      <c r="G346" s="2" t="s">
        <v>170</v>
      </c>
      <c r="H346" s="2" t="s">
        <v>563</v>
      </c>
      <c r="I346" s="2">
        <v>1</v>
      </c>
      <c r="J346" s="2">
        <v>2822</v>
      </c>
      <c r="K346" s="2">
        <v>0</v>
      </c>
      <c r="L346" s="2">
        <v>0</v>
      </c>
      <c r="M346" s="2">
        <v>2822</v>
      </c>
      <c r="N346" s="2" t="s">
        <v>23</v>
      </c>
      <c r="O346" s="2">
        <v>1</v>
      </c>
      <c r="P346" s="2" t="s">
        <v>24</v>
      </c>
    </row>
    <row r="347" spans="1:16" x14ac:dyDescent="0.25">
      <c r="A347" s="4">
        <v>45084</v>
      </c>
      <c r="B347" s="2" t="s">
        <v>738</v>
      </c>
      <c r="C347" s="2" t="s">
        <v>383</v>
      </c>
      <c r="D347" t="s">
        <v>84</v>
      </c>
      <c r="E347" s="2" t="s">
        <v>85</v>
      </c>
      <c r="F347" s="2" t="s">
        <v>61</v>
      </c>
      <c r="G347" s="2" t="s">
        <v>250</v>
      </c>
      <c r="H347" s="2" t="s">
        <v>366</v>
      </c>
      <c r="I347" s="2">
        <v>1</v>
      </c>
      <c r="J347" s="2">
        <v>168</v>
      </c>
      <c r="K347" s="2">
        <v>10</v>
      </c>
      <c r="L347" s="2">
        <v>16.8</v>
      </c>
      <c r="M347" s="2">
        <v>151.19999999999999</v>
      </c>
      <c r="N347" s="2" t="s">
        <v>56</v>
      </c>
      <c r="O347" s="2">
        <v>3</v>
      </c>
      <c r="P347" s="2" t="s">
        <v>24</v>
      </c>
    </row>
    <row r="348" spans="1:16" x14ac:dyDescent="0.25">
      <c r="A348" s="4">
        <v>45085</v>
      </c>
      <c r="B348" s="2" t="s">
        <v>739</v>
      </c>
      <c r="C348" s="2" t="s">
        <v>422</v>
      </c>
      <c r="D348" t="s">
        <v>53</v>
      </c>
      <c r="E348" s="2" t="s">
        <v>53</v>
      </c>
      <c r="F348" s="2" t="s">
        <v>61</v>
      </c>
      <c r="G348" s="2" t="s">
        <v>250</v>
      </c>
      <c r="H348" s="2" t="s">
        <v>591</v>
      </c>
      <c r="I348" s="2">
        <v>1</v>
      </c>
      <c r="J348" s="2">
        <v>924</v>
      </c>
      <c r="K348" s="2">
        <v>0</v>
      </c>
      <c r="L348" s="2">
        <v>0</v>
      </c>
      <c r="M348" s="2">
        <v>924</v>
      </c>
      <c r="N348" s="2" t="s">
        <v>50</v>
      </c>
      <c r="O348" s="2">
        <v>2</v>
      </c>
      <c r="P348" s="2" t="s">
        <v>24</v>
      </c>
    </row>
    <row r="349" spans="1:16" x14ac:dyDescent="0.25">
      <c r="A349" s="4">
        <v>45086</v>
      </c>
      <c r="B349" s="2" t="s">
        <v>740</v>
      </c>
      <c r="C349" s="2" t="s">
        <v>1478</v>
      </c>
      <c r="D349" t="s">
        <v>84</v>
      </c>
      <c r="E349" s="2" t="s">
        <v>85</v>
      </c>
      <c r="F349" s="2" t="s">
        <v>71</v>
      </c>
      <c r="G349" s="2" t="s">
        <v>72</v>
      </c>
      <c r="H349" s="2" t="s">
        <v>159</v>
      </c>
      <c r="I349" s="2">
        <v>1</v>
      </c>
      <c r="J349" s="2">
        <v>276</v>
      </c>
      <c r="K349" s="2">
        <v>10</v>
      </c>
      <c r="L349" s="2">
        <v>27.6</v>
      </c>
      <c r="M349" s="2">
        <v>248.4</v>
      </c>
      <c r="N349" s="2" t="s">
        <v>56</v>
      </c>
      <c r="O349" s="2">
        <v>2</v>
      </c>
      <c r="P349" s="2" t="s">
        <v>24</v>
      </c>
    </row>
    <row r="350" spans="1:16" x14ac:dyDescent="0.25">
      <c r="A350" s="4">
        <v>45087</v>
      </c>
      <c r="B350" s="2" t="s">
        <v>741</v>
      </c>
      <c r="C350" s="2" t="s">
        <v>225</v>
      </c>
      <c r="D350" t="s">
        <v>53</v>
      </c>
      <c r="E350" s="2" t="s">
        <v>53</v>
      </c>
      <c r="F350" s="2" t="s">
        <v>20</v>
      </c>
      <c r="G350" s="2" t="s">
        <v>54</v>
      </c>
      <c r="H350" s="2" t="s">
        <v>55</v>
      </c>
      <c r="I350" s="2">
        <v>1</v>
      </c>
      <c r="J350" s="2">
        <v>1823</v>
      </c>
      <c r="K350" s="2">
        <v>0</v>
      </c>
      <c r="L350" s="2">
        <v>0</v>
      </c>
      <c r="M350" s="2">
        <v>1823</v>
      </c>
      <c r="N350" s="2" t="s">
        <v>44</v>
      </c>
      <c r="O350" s="2">
        <v>4</v>
      </c>
      <c r="P350" s="2" t="s">
        <v>24</v>
      </c>
    </row>
    <row r="351" spans="1:16" x14ac:dyDescent="0.25">
      <c r="A351" s="4">
        <v>45088</v>
      </c>
      <c r="B351" s="2" t="s">
        <v>742</v>
      </c>
      <c r="C351" s="2" t="s">
        <v>102</v>
      </c>
      <c r="D351" t="s">
        <v>66</v>
      </c>
      <c r="E351" s="2" t="s">
        <v>19</v>
      </c>
      <c r="F351" s="2" t="s">
        <v>28</v>
      </c>
      <c r="G351" s="2" t="s">
        <v>289</v>
      </c>
      <c r="H351" s="2" t="s">
        <v>554</v>
      </c>
      <c r="I351" s="2">
        <v>1</v>
      </c>
      <c r="J351" s="2">
        <v>3442</v>
      </c>
      <c r="K351" s="2">
        <v>5</v>
      </c>
      <c r="L351" s="2">
        <v>172.1</v>
      </c>
      <c r="M351" s="2">
        <v>3269.9</v>
      </c>
      <c r="N351" s="2" t="s">
        <v>44</v>
      </c>
      <c r="O351" s="2">
        <v>8</v>
      </c>
      <c r="P351" s="2" t="s">
        <v>92</v>
      </c>
    </row>
    <row r="352" spans="1:16" x14ac:dyDescent="0.25">
      <c r="A352" s="4">
        <v>45089</v>
      </c>
      <c r="B352" s="2" t="s">
        <v>743</v>
      </c>
      <c r="C352" s="2" t="s">
        <v>528</v>
      </c>
      <c r="D352" t="s">
        <v>27</v>
      </c>
      <c r="E352" s="2" t="s">
        <v>19</v>
      </c>
      <c r="F352" s="2" t="s">
        <v>61</v>
      </c>
      <c r="G352" s="2" t="s">
        <v>62</v>
      </c>
      <c r="H352" s="2" t="s">
        <v>156</v>
      </c>
      <c r="I352" s="2">
        <v>2</v>
      </c>
      <c r="J352" s="2">
        <v>175</v>
      </c>
      <c r="K352" s="2">
        <v>20</v>
      </c>
      <c r="L352" s="2">
        <v>70</v>
      </c>
      <c r="M352" s="2">
        <v>280</v>
      </c>
      <c r="N352" s="2" t="s">
        <v>44</v>
      </c>
      <c r="O352" s="2">
        <v>5</v>
      </c>
      <c r="P352" s="2" t="s">
        <v>24</v>
      </c>
    </row>
    <row r="353" spans="1:16" x14ac:dyDescent="0.25">
      <c r="A353" s="4">
        <v>45090</v>
      </c>
      <c r="B353" s="2" t="s">
        <v>744</v>
      </c>
      <c r="C353" s="2" t="s">
        <v>578</v>
      </c>
      <c r="D353" t="s">
        <v>53</v>
      </c>
      <c r="E353" s="2" t="s">
        <v>53</v>
      </c>
      <c r="F353" s="2" t="s">
        <v>61</v>
      </c>
      <c r="G353" s="2" t="s">
        <v>262</v>
      </c>
      <c r="H353" s="2" t="s">
        <v>263</v>
      </c>
      <c r="I353" s="2">
        <v>1</v>
      </c>
      <c r="J353" s="2">
        <v>1545</v>
      </c>
      <c r="K353" s="2">
        <v>15</v>
      </c>
      <c r="L353" s="2">
        <v>231.75</v>
      </c>
      <c r="M353" s="2">
        <v>1313.25</v>
      </c>
      <c r="N353" s="2" t="s">
        <v>23</v>
      </c>
      <c r="O353" s="2">
        <v>3</v>
      </c>
      <c r="P353" s="2" t="s">
        <v>24</v>
      </c>
    </row>
    <row r="354" spans="1:16" x14ac:dyDescent="0.25">
      <c r="A354" s="4">
        <v>45091</v>
      </c>
      <c r="B354" s="2" t="s">
        <v>745</v>
      </c>
      <c r="C354" s="2" t="s">
        <v>667</v>
      </c>
      <c r="D354" t="s">
        <v>33</v>
      </c>
      <c r="E354" s="2" t="s">
        <v>34</v>
      </c>
      <c r="F354" s="2" t="s">
        <v>20</v>
      </c>
      <c r="G354" s="2" t="s">
        <v>170</v>
      </c>
      <c r="H354" s="2" t="s">
        <v>538</v>
      </c>
      <c r="I354" s="2">
        <v>1</v>
      </c>
      <c r="J354" s="2">
        <v>1225</v>
      </c>
      <c r="K354" s="2">
        <v>5</v>
      </c>
      <c r="L354" s="2">
        <v>61.25</v>
      </c>
      <c r="M354" s="2">
        <v>1163.75</v>
      </c>
      <c r="N354" s="2" t="s">
        <v>23</v>
      </c>
      <c r="O354" s="2">
        <v>3</v>
      </c>
      <c r="P354" s="2" t="s">
        <v>24</v>
      </c>
    </row>
    <row r="355" spans="1:16" x14ac:dyDescent="0.25">
      <c r="A355" s="4">
        <v>45092</v>
      </c>
      <c r="B355" s="2" t="s">
        <v>746</v>
      </c>
      <c r="C355" s="2" t="s">
        <v>185</v>
      </c>
      <c r="D355" t="s">
        <v>59</v>
      </c>
      <c r="E355" s="2" t="s">
        <v>60</v>
      </c>
      <c r="F355" s="2" t="s">
        <v>28</v>
      </c>
      <c r="G355" s="2" t="s">
        <v>110</v>
      </c>
      <c r="H355" s="2" t="s">
        <v>409</v>
      </c>
      <c r="I355" s="2">
        <v>1</v>
      </c>
      <c r="J355" s="2">
        <v>1669</v>
      </c>
      <c r="K355" s="2">
        <v>0</v>
      </c>
      <c r="L355" s="2">
        <v>0</v>
      </c>
      <c r="M355" s="2">
        <v>1669</v>
      </c>
      <c r="N355" s="2" t="s">
        <v>50</v>
      </c>
      <c r="O355" s="2">
        <v>3</v>
      </c>
      <c r="P355" s="2" t="s">
        <v>24</v>
      </c>
    </row>
    <row r="356" spans="1:16" x14ac:dyDescent="0.25">
      <c r="A356" s="4">
        <v>45093</v>
      </c>
      <c r="B356" s="2" t="s">
        <v>747</v>
      </c>
      <c r="C356" s="2" t="s">
        <v>213</v>
      </c>
      <c r="D356" t="s">
        <v>18</v>
      </c>
      <c r="E356" s="2" t="s">
        <v>19</v>
      </c>
      <c r="F356" s="2" t="s">
        <v>20</v>
      </c>
      <c r="G356" s="2" t="s">
        <v>21</v>
      </c>
      <c r="H356" s="2" t="s">
        <v>435</v>
      </c>
      <c r="I356" s="2">
        <v>2</v>
      </c>
      <c r="J356" s="2">
        <v>2206</v>
      </c>
      <c r="K356" s="2">
        <v>10</v>
      </c>
      <c r="L356" s="2">
        <v>441.2</v>
      </c>
      <c r="M356" s="2">
        <v>3970.8</v>
      </c>
      <c r="N356" s="2" t="s">
        <v>44</v>
      </c>
      <c r="O356" s="2">
        <v>5</v>
      </c>
      <c r="P356" s="2" t="s">
        <v>24</v>
      </c>
    </row>
    <row r="357" spans="1:16" x14ac:dyDescent="0.25">
      <c r="A357" s="4">
        <v>45094</v>
      </c>
      <c r="B357" s="2" t="s">
        <v>748</v>
      </c>
      <c r="C357" s="2" t="s">
        <v>749</v>
      </c>
      <c r="D357" t="s">
        <v>59</v>
      </c>
      <c r="E357" s="2" t="s">
        <v>60</v>
      </c>
      <c r="F357" s="2" t="s">
        <v>20</v>
      </c>
      <c r="G357" s="2" t="s">
        <v>21</v>
      </c>
      <c r="H357" s="2" t="s">
        <v>49</v>
      </c>
      <c r="I357" s="2">
        <v>2</v>
      </c>
      <c r="J357" s="2">
        <v>4879</v>
      </c>
      <c r="K357" s="2">
        <v>10</v>
      </c>
      <c r="L357" s="2">
        <v>975.8</v>
      </c>
      <c r="M357" s="2">
        <v>8782.2000000000007</v>
      </c>
      <c r="N357" s="2" t="s">
        <v>23</v>
      </c>
      <c r="O357" s="2">
        <v>2</v>
      </c>
      <c r="P357" s="2" t="s">
        <v>24</v>
      </c>
    </row>
    <row r="358" spans="1:16" x14ac:dyDescent="0.25">
      <c r="A358" s="4">
        <v>45095</v>
      </c>
      <c r="B358" s="2" t="s">
        <v>750</v>
      </c>
      <c r="C358" s="2" t="s">
        <v>319</v>
      </c>
      <c r="D358" t="s">
        <v>66</v>
      </c>
      <c r="E358" s="2" t="s">
        <v>19</v>
      </c>
      <c r="F358" s="2" t="s">
        <v>20</v>
      </c>
      <c r="G358" s="2" t="s">
        <v>42</v>
      </c>
      <c r="H358" s="2" t="s">
        <v>221</v>
      </c>
      <c r="I358" s="2">
        <v>1</v>
      </c>
      <c r="J358" s="2">
        <v>3981</v>
      </c>
      <c r="K358" s="2">
        <v>5</v>
      </c>
      <c r="L358" s="2">
        <v>199.05</v>
      </c>
      <c r="M358" s="2">
        <v>3781.95</v>
      </c>
      <c r="N358" s="2" t="s">
        <v>50</v>
      </c>
      <c r="O358" s="2">
        <v>3</v>
      </c>
      <c r="P358" s="2" t="s">
        <v>24</v>
      </c>
    </row>
    <row r="359" spans="1:16" x14ac:dyDescent="0.25">
      <c r="A359" s="4">
        <v>45096</v>
      </c>
      <c r="B359" s="2" t="s">
        <v>751</v>
      </c>
      <c r="C359" s="2" t="s">
        <v>166</v>
      </c>
      <c r="D359" t="s">
        <v>174</v>
      </c>
      <c r="E359" s="2" t="s">
        <v>60</v>
      </c>
      <c r="F359" s="2" t="s">
        <v>35</v>
      </c>
      <c r="G359" s="2" t="s">
        <v>124</v>
      </c>
      <c r="H359" s="2" t="s">
        <v>689</v>
      </c>
      <c r="I359" s="2">
        <v>2</v>
      </c>
      <c r="J359" s="2">
        <v>16149</v>
      </c>
      <c r="K359" s="2">
        <v>20</v>
      </c>
      <c r="L359" s="2">
        <v>6459.6</v>
      </c>
      <c r="M359" s="2">
        <v>25838.400000000001</v>
      </c>
      <c r="N359" s="2" t="s">
        <v>44</v>
      </c>
      <c r="O359" s="2">
        <v>2</v>
      </c>
      <c r="P359" s="2" t="s">
        <v>24</v>
      </c>
    </row>
    <row r="360" spans="1:16" x14ac:dyDescent="0.25">
      <c r="A360" s="4">
        <v>45097</v>
      </c>
      <c r="B360" s="2" t="s">
        <v>752</v>
      </c>
      <c r="C360" s="2" t="s">
        <v>163</v>
      </c>
      <c r="D360" t="s">
        <v>41</v>
      </c>
      <c r="E360" s="2" t="s">
        <v>19</v>
      </c>
      <c r="F360" s="2" t="s">
        <v>20</v>
      </c>
      <c r="G360" s="2" t="s">
        <v>139</v>
      </c>
      <c r="H360" s="2" t="s">
        <v>327</v>
      </c>
      <c r="I360" s="2">
        <v>1</v>
      </c>
      <c r="J360" s="2">
        <v>4586</v>
      </c>
      <c r="K360" s="2">
        <v>0</v>
      </c>
      <c r="L360" s="2">
        <v>0</v>
      </c>
      <c r="M360" s="2">
        <v>4586</v>
      </c>
      <c r="N360" s="2" t="s">
        <v>44</v>
      </c>
      <c r="O360" s="2">
        <v>4</v>
      </c>
      <c r="P360" s="2" t="s">
        <v>92</v>
      </c>
    </row>
    <row r="361" spans="1:16" x14ac:dyDescent="0.25">
      <c r="A361" s="4">
        <v>45098</v>
      </c>
      <c r="B361" s="2" t="s">
        <v>753</v>
      </c>
      <c r="C361" s="2" t="s">
        <v>594</v>
      </c>
      <c r="D361" t="s">
        <v>53</v>
      </c>
      <c r="E361" s="2" t="s">
        <v>53</v>
      </c>
      <c r="F361" s="2" t="s">
        <v>35</v>
      </c>
      <c r="G361" s="2" t="s">
        <v>67</v>
      </c>
      <c r="H361" s="2" t="s">
        <v>322</v>
      </c>
      <c r="I361" s="2">
        <v>1</v>
      </c>
      <c r="J361" s="2">
        <v>25967</v>
      </c>
      <c r="K361" s="2">
        <v>5</v>
      </c>
      <c r="L361" s="2">
        <v>1298.3499999999999</v>
      </c>
      <c r="M361" s="2">
        <v>24668.65</v>
      </c>
      <c r="N361" s="2" t="s">
        <v>23</v>
      </c>
      <c r="O361" s="2">
        <v>2</v>
      </c>
      <c r="P361" s="2" t="s">
        <v>24</v>
      </c>
    </row>
    <row r="362" spans="1:16" x14ac:dyDescent="0.25">
      <c r="A362" s="4">
        <v>45099</v>
      </c>
      <c r="B362" s="2" t="s">
        <v>754</v>
      </c>
      <c r="C362" s="2" t="s">
        <v>662</v>
      </c>
      <c r="D362" t="s">
        <v>53</v>
      </c>
      <c r="E362" s="2" t="s">
        <v>53</v>
      </c>
      <c r="F362" s="2" t="s">
        <v>61</v>
      </c>
      <c r="G362" s="2" t="s">
        <v>262</v>
      </c>
      <c r="H362" s="2" t="s">
        <v>755</v>
      </c>
      <c r="I362" s="2">
        <v>2</v>
      </c>
      <c r="J362" s="2">
        <v>1672</v>
      </c>
      <c r="K362" s="2">
        <v>15</v>
      </c>
      <c r="L362" s="2">
        <v>501.6</v>
      </c>
      <c r="M362" s="2">
        <v>2842.4</v>
      </c>
      <c r="N362" s="2" t="s">
        <v>44</v>
      </c>
      <c r="O362" s="2">
        <v>2</v>
      </c>
      <c r="P362" s="2" t="s">
        <v>24</v>
      </c>
    </row>
    <row r="363" spans="1:16" x14ac:dyDescent="0.25">
      <c r="A363" s="4">
        <v>45100</v>
      </c>
      <c r="B363" s="2" t="s">
        <v>756</v>
      </c>
      <c r="C363" s="2" t="s">
        <v>261</v>
      </c>
      <c r="D363" t="s">
        <v>33</v>
      </c>
      <c r="E363" s="2" t="s">
        <v>34</v>
      </c>
      <c r="F363" s="2" t="s">
        <v>20</v>
      </c>
      <c r="G363" s="2" t="s">
        <v>54</v>
      </c>
      <c r="H363" s="2" t="s">
        <v>55</v>
      </c>
      <c r="I363" s="2">
        <v>3</v>
      </c>
      <c r="J363" s="2">
        <v>6240</v>
      </c>
      <c r="K363" s="2">
        <v>5</v>
      </c>
      <c r="L363" s="2">
        <v>936</v>
      </c>
      <c r="M363" s="2">
        <v>17784</v>
      </c>
      <c r="N363" s="2" t="s">
        <v>23</v>
      </c>
      <c r="O363" s="2">
        <v>3</v>
      </c>
      <c r="P363" s="2" t="s">
        <v>24</v>
      </c>
    </row>
    <row r="364" spans="1:16" x14ac:dyDescent="0.25">
      <c r="A364" s="4">
        <v>45101</v>
      </c>
      <c r="B364" s="2" t="s">
        <v>757</v>
      </c>
      <c r="C364" s="2" t="s">
        <v>541</v>
      </c>
      <c r="D364" t="s">
        <v>27</v>
      </c>
      <c r="E364" s="2" t="s">
        <v>19</v>
      </c>
      <c r="F364" s="2" t="s">
        <v>71</v>
      </c>
      <c r="G364" s="2" t="s">
        <v>106</v>
      </c>
      <c r="H364" s="2" t="s">
        <v>346</v>
      </c>
      <c r="I364" s="2">
        <v>2</v>
      </c>
      <c r="J364" s="2">
        <v>1488</v>
      </c>
      <c r="K364" s="2">
        <v>10</v>
      </c>
      <c r="L364" s="2">
        <v>297.60000000000002</v>
      </c>
      <c r="M364" s="2">
        <v>2678.4</v>
      </c>
      <c r="N364" s="2" t="s">
        <v>44</v>
      </c>
      <c r="O364" s="2">
        <v>4</v>
      </c>
      <c r="P364" s="2" t="s">
        <v>92</v>
      </c>
    </row>
    <row r="365" spans="1:16" x14ac:dyDescent="0.25">
      <c r="A365" s="4">
        <v>45102</v>
      </c>
      <c r="B365" s="2" t="s">
        <v>758</v>
      </c>
      <c r="C365" s="2" t="s">
        <v>387</v>
      </c>
      <c r="D365" t="s">
        <v>47</v>
      </c>
      <c r="E365" s="2" t="s">
        <v>48</v>
      </c>
      <c r="F365" s="2" t="s">
        <v>28</v>
      </c>
      <c r="G365" s="2" t="s">
        <v>29</v>
      </c>
      <c r="H365" s="2" t="s">
        <v>477</v>
      </c>
      <c r="I365" s="2">
        <v>1</v>
      </c>
      <c r="J365" s="2">
        <v>2981</v>
      </c>
      <c r="K365" s="2">
        <v>5</v>
      </c>
      <c r="L365" s="2">
        <v>149.05000000000001</v>
      </c>
      <c r="M365" s="2">
        <v>2831.95</v>
      </c>
      <c r="N365" s="2" t="s">
        <v>56</v>
      </c>
      <c r="O365" s="2">
        <v>4</v>
      </c>
      <c r="P365" s="2" t="s">
        <v>24</v>
      </c>
    </row>
    <row r="366" spans="1:16" x14ac:dyDescent="0.25">
      <c r="A366" s="4">
        <v>45103</v>
      </c>
      <c r="B366" s="2" t="s">
        <v>759</v>
      </c>
      <c r="C366" s="2" t="s">
        <v>760</v>
      </c>
      <c r="D366" t="s">
        <v>41</v>
      </c>
      <c r="E366" s="2" t="s">
        <v>19</v>
      </c>
      <c r="F366" s="2" t="s">
        <v>71</v>
      </c>
      <c r="G366" s="2" t="s">
        <v>76</v>
      </c>
      <c r="H366" s="2" t="s">
        <v>181</v>
      </c>
      <c r="I366" s="2">
        <v>2</v>
      </c>
      <c r="J366" s="2">
        <v>863</v>
      </c>
      <c r="K366" s="2">
        <v>0</v>
      </c>
      <c r="L366" s="2">
        <v>0</v>
      </c>
      <c r="M366" s="2">
        <v>1726</v>
      </c>
      <c r="N366" s="2" t="s">
        <v>23</v>
      </c>
      <c r="O366" s="2">
        <v>2</v>
      </c>
      <c r="P366" s="2" t="s">
        <v>24</v>
      </c>
    </row>
    <row r="367" spans="1:16" x14ac:dyDescent="0.25">
      <c r="A367" s="4">
        <v>45104</v>
      </c>
      <c r="B367" s="2" t="s">
        <v>761</v>
      </c>
      <c r="C367" s="2" t="s">
        <v>762</v>
      </c>
      <c r="D367" t="s">
        <v>174</v>
      </c>
      <c r="E367" s="2" t="s">
        <v>60</v>
      </c>
      <c r="F367" s="2" t="s">
        <v>20</v>
      </c>
      <c r="G367" s="2" t="s">
        <v>54</v>
      </c>
      <c r="H367" s="2" t="s">
        <v>236</v>
      </c>
      <c r="I367" s="2">
        <v>3</v>
      </c>
      <c r="J367" s="2">
        <v>477</v>
      </c>
      <c r="K367" s="2">
        <v>15</v>
      </c>
      <c r="L367" s="2">
        <v>214.65</v>
      </c>
      <c r="M367" s="2">
        <v>1216.3499999999999</v>
      </c>
      <c r="N367" s="2" t="s">
        <v>44</v>
      </c>
      <c r="O367" s="2">
        <v>4</v>
      </c>
      <c r="P367" s="2" t="s">
        <v>24</v>
      </c>
    </row>
    <row r="368" spans="1:16" x14ac:dyDescent="0.25">
      <c r="A368" s="4">
        <v>45105</v>
      </c>
      <c r="B368" s="2" t="s">
        <v>763</v>
      </c>
      <c r="C368" s="2" t="s">
        <v>242</v>
      </c>
      <c r="D368" t="s">
        <v>33</v>
      </c>
      <c r="E368" s="2" t="s">
        <v>34</v>
      </c>
      <c r="F368" s="2" t="s">
        <v>35</v>
      </c>
      <c r="G368" s="2" t="s">
        <v>36</v>
      </c>
      <c r="H368" s="2" t="s">
        <v>98</v>
      </c>
      <c r="I368" s="2">
        <v>1</v>
      </c>
      <c r="J368" s="2">
        <v>17866</v>
      </c>
      <c r="K368" s="2">
        <v>0</v>
      </c>
      <c r="L368" s="2">
        <v>0</v>
      </c>
      <c r="M368" s="2">
        <v>17866</v>
      </c>
      <c r="N368" s="2" t="s">
        <v>44</v>
      </c>
      <c r="O368" s="2">
        <v>2</v>
      </c>
      <c r="P368" s="2" t="s">
        <v>24</v>
      </c>
    </row>
    <row r="369" spans="1:16" x14ac:dyDescent="0.25">
      <c r="A369" s="4">
        <v>45106</v>
      </c>
      <c r="B369" s="2" t="s">
        <v>764</v>
      </c>
      <c r="C369" s="2" t="s">
        <v>765</v>
      </c>
      <c r="D369" t="s">
        <v>47</v>
      </c>
      <c r="E369" s="2" t="s">
        <v>48</v>
      </c>
      <c r="F369" s="2" t="s">
        <v>61</v>
      </c>
      <c r="G369" s="2" t="s">
        <v>62</v>
      </c>
      <c r="H369" s="2" t="s">
        <v>515</v>
      </c>
      <c r="I369" s="2">
        <v>2</v>
      </c>
      <c r="J369" s="2">
        <v>1465</v>
      </c>
      <c r="K369" s="2">
        <v>0</v>
      </c>
      <c r="L369" s="2">
        <v>0</v>
      </c>
      <c r="M369" s="2">
        <v>2930</v>
      </c>
      <c r="N369" s="2" t="s">
        <v>44</v>
      </c>
      <c r="O369" s="2">
        <v>3</v>
      </c>
      <c r="P369" s="2" t="s">
        <v>24</v>
      </c>
    </row>
    <row r="370" spans="1:16" x14ac:dyDescent="0.25">
      <c r="A370" s="4">
        <v>45107</v>
      </c>
      <c r="B370" s="2" t="s">
        <v>766</v>
      </c>
      <c r="C370" s="2" t="s">
        <v>405</v>
      </c>
      <c r="D370" t="s">
        <v>59</v>
      </c>
      <c r="E370" s="2" t="s">
        <v>60</v>
      </c>
      <c r="F370" s="2" t="s">
        <v>61</v>
      </c>
      <c r="G370" s="2" t="s">
        <v>262</v>
      </c>
      <c r="H370" s="2" t="s">
        <v>767</v>
      </c>
      <c r="I370" s="2">
        <v>2</v>
      </c>
      <c r="J370" s="2">
        <v>1742</v>
      </c>
      <c r="K370" s="2">
        <v>5</v>
      </c>
      <c r="L370" s="2">
        <v>174.2</v>
      </c>
      <c r="M370" s="2">
        <v>3309.8</v>
      </c>
      <c r="N370" s="2" t="s">
        <v>23</v>
      </c>
      <c r="O370" s="2">
        <v>1</v>
      </c>
      <c r="P370" s="2" t="s">
        <v>24</v>
      </c>
    </row>
    <row r="371" spans="1:16" x14ac:dyDescent="0.25">
      <c r="A371" s="4">
        <v>45108</v>
      </c>
      <c r="B371" s="2" t="s">
        <v>768</v>
      </c>
      <c r="C371" s="2" t="s">
        <v>769</v>
      </c>
      <c r="D371" t="s">
        <v>174</v>
      </c>
      <c r="E371" s="2" t="s">
        <v>60</v>
      </c>
      <c r="F371" s="2" t="s">
        <v>20</v>
      </c>
      <c r="G371" s="2" t="s">
        <v>42</v>
      </c>
      <c r="H371" s="2" t="s">
        <v>43</v>
      </c>
      <c r="I371" s="2">
        <v>1</v>
      </c>
      <c r="J371" s="2">
        <v>6467</v>
      </c>
      <c r="K371" s="2">
        <v>5</v>
      </c>
      <c r="L371" s="2">
        <v>323.35000000000002</v>
      </c>
      <c r="M371" s="2">
        <v>6143.65</v>
      </c>
      <c r="N371" s="2" t="s">
        <v>23</v>
      </c>
      <c r="O371" s="2">
        <v>2</v>
      </c>
      <c r="P371" s="2" t="s">
        <v>24</v>
      </c>
    </row>
    <row r="372" spans="1:16" x14ac:dyDescent="0.25">
      <c r="A372" s="4">
        <v>45109</v>
      </c>
      <c r="B372" s="2" t="s">
        <v>770</v>
      </c>
      <c r="C372" s="2" t="s">
        <v>288</v>
      </c>
      <c r="D372" t="s">
        <v>174</v>
      </c>
      <c r="E372" s="2" t="s">
        <v>60</v>
      </c>
      <c r="F372" s="2" t="s">
        <v>20</v>
      </c>
      <c r="G372" s="2" t="s">
        <v>54</v>
      </c>
      <c r="H372" s="2" t="s">
        <v>269</v>
      </c>
      <c r="I372" s="2">
        <v>1</v>
      </c>
      <c r="J372" s="2">
        <v>3570</v>
      </c>
      <c r="K372" s="2">
        <v>5</v>
      </c>
      <c r="L372" s="2">
        <v>178.5</v>
      </c>
      <c r="M372" s="2">
        <v>3391.5</v>
      </c>
      <c r="N372" s="2" t="s">
        <v>50</v>
      </c>
      <c r="O372" s="2">
        <v>3</v>
      </c>
      <c r="P372" s="2" t="s">
        <v>24</v>
      </c>
    </row>
    <row r="373" spans="1:16" x14ac:dyDescent="0.25">
      <c r="A373" s="4">
        <v>45110</v>
      </c>
      <c r="B373" s="2" t="s">
        <v>771</v>
      </c>
      <c r="C373" s="2" t="s">
        <v>297</v>
      </c>
      <c r="D373" t="s">
        <v>27</v>
      </c>
      <c r="E373" s="2" t="s">
        <v>19</v>
      </c>
      <c r="F373" s="2" t="s">
        <v>28</v>
      </c>
      <c r="G373" s="2" t="s">
        <v>188</v>
      </c>
      <c r="H373" s="2" t="s">
        <v>292</v>
      </c>
      <c r="I373" s="2">
        <v>1</v>
      </c>
      <c r="J373" s="2">
        <v>4997</v>
      </c>
      <c r="K373" s="2">
        <v>0</v>
      </c>
      <c r="L373" s="2">
        <v>0</v>
      </c>
      <c r="M373" s="2">
        <v>4997</v>
      </c>
      <c r="N373" s="2" t="s">
        <v>23</v>
      </c>
      <c r="O373" s="2">
        <v>3</v>
      </c>
      <c r="P373" s="2" t="s">
        <v>24</v>
      </c>
    </row>
    <row r="374" spans="1:16" x14ac:dyDescent="0.25">
      <c r="A374" s="4">
        <v>45111</v>
      </c>
      <c r="B374" s="2" t="s">
        <v>772</v>
      </c>
      <c r="C374" s="2" t="s">
        <v>223</v>
      </c>
      <c r="D374" t="s">
        <v>33</v>
      </c>
      <c r="E374" s="2" t="s">
        <v>34</v>
      </c>
      <c r="F374" s="2" t="s">
        <v>35</v>
      </c>
      <c r="G374" s="2" t="s">
        <v>36</v>
      </c>
      <c r="H374" s="2" t="s">
        <v>164</v>
      </c>
      <c r="I374" s="2">
        <v>1</v>
      </c>
      <c r="J374" s="2">
        <v>12983</v>
      </c>
      <c r="K374" s="2">
        <v>0</v>
      </c>
      <c r="L374" s="2">
        <v>0</v>
      </c>
      <c r="M374" s="2">
        <v>12983</v>
      </c>
      <c r="N374" s="2" t="s">
        <v>23</v>
      </c>
      <c r="O374" s="2">
        <v>5</v>
      </c>
      <c r="P374" s="2" t="s">
        <v>24</v>
      </c>
    </row>
    <row r="375" spans="1:16" x14ac:dyDescent="0.25">
      <c r="A375" s="4">
        <v>45112</v>
      </c>
      <c r="B375" s="2" t="s">
        <v>773</v>
      </c>
      <c r="C375" s="2" t="s">
        <v>525</v>
      </c>
      <c r="D375" t="s">
        <v>41</v>
      </c>
      <c r="E375" s="2" t="s">
        <v>19</v>
      </c>
      <c r="F375" s="2" t="s">
        <v>28</v>
      </c>
      <c r="G375" s="2" t="s">
        <v>188</v>
      </c>
      <c r="H375" s="2" t="s">
        <v>206</v>
      </c>
      <c r="I375" s="2">
        <v>3</v>
      </c>
      <c r="J375" s="2">
        <v>2035</v>
      </c>
      <c r="K375" s="2">
        <v>10</v>
      </c>
      <c r="L375" s="2">
        <v>610.5</v>
      </c>
      <c r="M375" s="2">
        <v>5494.5</v>
      </c>
      <c r="N375" s="2" t="s">
        <v>44</v>
      </c>
      <c r="O375" s="2">
        <v>4</v>
      </c>
      <c r="P375" s="2" t="s">
        <v>92</v>
      </c>
    </row>
    <row r="376" spans="1:16" x14ac:dyDescent="0.25">
      <c r="A376" s="4">
        <v>45113</v>
      </c>
      <c r="B376" s="2" t="s">
        <v>774</v>
      </c>
      <c r="C376" s="2" t="s">
        <v>288</v>
      </c>
      <c r="D376" t="s">
        <v>84</v>
      </c>
      <c r="E376" s="2" t="s">
        <v>85</v>
      </c>
      <c r="F376" s="2" t="s">
        <v>35</v>
      </c>
      <c r="G376" s="2" t="s">
        <v>130</v>
      </c>
      <c r="H376" s="2" t="s">
        <v>247</v>
      </c>
      <c r="I376" s="2">
        <v>1</v>
      </c>
      <c r="J376" s="2">
        <v>31379</v>
      </c>
      <c r="K376" s="2">
        <v>0</v>
      </c>
      <c r="L376" s="2">
        <v>0</v>
      </c>
      <c r="M376" s="2">
        <v>31379</v>
      </c>
      <c r="N376" s="2" t="s">
        <v>50</v>
      </c>
      <c r="O376" s="2">
        <v>3</v>
      </c>
      <c r="P376" s="2" t="s">
        <v>24</v>
      </c>
    </row>
    <row r="377" spans="1:16" x14ac:dyDescent="0.25">
      <c r="A377" s="4">
        <v>45114</v>
      </c>
      <c r="B377" s="2" t="s">
        <v>775</v>
      </c>
      <c r="C377" s="2" t="s">
        <v>381</v>
      </c>
      <c r="D377" t="s">
        <v>41</v>
      </c>
      <c r="E377" s="2" t="s">
        <v>19</v>
      </c>
      <c r="F377" s="2" t="s">
        <v>28</v>
      </c>
      <c r="G377" s="2" t="s">
        <v>110</v>
      </c>
      <c r="H377" s="2" t="s">
        <v>253</v>
      </c>
      <c r="I377" s="2">
        <v>1</v>
      </c>
      <c r="J377" s="2">
        <v>756</v>
      </c>
      <c r="K377" s="2">
        <v>0</v>
      </c>
      <c r="L377" s="2">
        <v>0</v>
      </c>
      <c r="M377" s="2">
        <v>756</v>
      </c>
      <c r="N377" s="2" t="s">
        <v>44</v>
      </c>
      <c r="O377" s="2">
        <v>7</v>
      </c>
      <c r="P377" s="2" t="s">
        <v>92</v>
      </c>
    </row>
    <row r="378" spans="1:16" x14ac:dyDescent="0.25">
      <c r="A378" s="4">
        <v>45115</v>
      </c>
      <c r="B378" s="2" t="s">
        <v>776</v>
      </c>
      <c r="C378" s="2" t="s">
        <v>635</v>
      </c>
      <c r="D378" t="s">
        <v>33</v>
      </c>
      <c r="E378" s="2" t="s">
        <v>34</v>
      </c>
      <c r="F378" s="2" t="s">
        <v>61</v>
      </c>
      <c r="G378" s="2" t="s">
        <v>200</v>
      </c>
      <c r="H378" s="2" t="s">
        <v>201</v>
      </c>
      <c r="I378" s="2">
        <v>2</v>
      </c>
      <c r="J378" s="2">
        <v>1959</v>
      </c>
      <c r="K378" s="2">
        <v>5</v>
      </c>
      <c r="L378" s="2">
        <v>195.9</v>
      </c>
      <c r="M378" s="2">
        <v>3722.1</v>
      </c>
      <c r="N378" s="2" t="s">
        <v>38</v>
      </c>
      <c r="O378" s="2">
        <v>3</v>
      </c>
      <c r="P378" s="2" t="s">
        <v>24</v>
      </c>
    </row>
    <row r="379" spans="1:16" x14ac:dyDescent="0.25">
      <c r="A379" s="4">
        <v>45116</v>
      </c>
      <c r="B379" s="2" t="s">
        <v>777</v>
      </c>
      <c r="C379" s="2" t="s">
        <v>447</v>
      </c>
      <c r="D379" t="s">
        <v>47</v>
      </c>
      <c r="E379" s="2" t="s">
        <v>48</v>
      </c>
      <c r="F379" s="2" t="s">
        <v>61</v>
      </c>
      <c r="G379" s="2" t="s">
        <v>250</v>
      </c>
      <c r="H379" s="2" t="s">
        <v>504</v>
      </c>
      <c r="I379" s="2">
        <v>1</v>
      </c>
      <c r="J379" s="2">
        <v>1298</v>
      </c>
      <c r="K379" s="2">
        <v>0</v>
      </c>
      <c r="L379" s="2">
        <v>0</v>
      </c>
      <c r="M379" s="2">
        <v>1298</v>
      </c>
      <c r="N379" s="2" t="s">
        <v>44</v>
      </c>
      <c r="O379" s="2">
        <v>3</v>
      </c>
      <c r="P379" s="2" t="s">
        <v>24</v>
      </c>
    </row>
    <row r="380" spans="1:16" x14ac:dyDescent="0.25">
      <c r="A380" s="4">
        <v>45117</v>
      </c>
      <c r="B380" s="2" t="s">
        <v>778</v>
      </c>
      <c r="C380" s="2" t="s">
        <v>1478</v>
      </c>
      <c r="D380" t="s">
        <v>47</v>
      </c>
      <c r="E380" s="2" t="s">
        <v>48</v>
      </c>
      <c r="F380" s="2" t="s">
        <v>20</v>
      </c>
      <c r="G380" s="2" t="s">
        <v>139</v>
      </c>
      <c r="H380" s="2" t="s">
        <v>727</v>
      </c>
      <c r="I380" s="2">
        <v>1</v>
      </c>
      <c r="J380" s="2">
        <v>6951</v>
      </c>
      <c r="K380" s="2">
        <v>0</v>
      </c>
      <c r="L380" s="2">
        <v>0</v>
      </c>
      <c r="M380" s="2">
        <v>6951</v>
      </c>
      <c r="N380" s="2" t="s">
        <v>50</v>
      </c>
      <c r="O380" s="2">
        <v>5</v>
      </c>
      <c r="P380" s="2" t="s">
        <v>24</v>
      </c>
    </row>
    <row r="381" spans="1:16" x14ac:dyDescent="0.25">
      <c r="A381" s="4">
        <v>45118</v>
      </c>
      <c r="B381" s="2" t="s">
        <v>779</v>
      </c>
      <c r="C381" s="2" t="s">
        <v>780</v>
      </c>
      <c r="D381" t="s">
        <v>84</v>
      </c>
      <c r="E381" s="2" t="s">
        <v>85</v>
      </c>
      <c r="F381" s="2" t="s">
        <v>28</v>
      </c>
      <c r="G381" s="2" t="s">
        <v>90</v>
      </c>
      <c r="H381" s="2" t="s">
        <v>456</v>
      </c>
      <c r="I381" s="2">
        <v>2</v>
      </c>
      <c r="J381" s="2">
        <v>1119</v>
      </c>
      <c r="K381" s="2">
        <v>20</v>
      </c>
      <c r="L381" s="2">
        <v>447.6</v>
      </c>
      <c r="M381" s="2">
        <v>1790.4</v>
      </c>
      <c r="N381" s="2" t="s">
        <v>56</v>
      </c>
      <c r="O381" s="2">
        <v>3</v>
      </c>
      <c r="P381" s="2" t="s">
        <v>24</v>
      </c>
    </row>
    <row r="382" spans="1:16" x14ac:dyDescent="0.25">
      <c r="A382" s="4">
        <v>45119</v>
      </c>
      <c r="B382" s="2" t="s">
        <v>781</v>
      </c>
      <c r="C382" s="2" t="s">
        <v>211</v>
      </c>
      <c r="D382" t="s">
        <v>53</v>
      </c>
      <c r="E382" s="2" t="s">
        <v>53</v>
      </c>
      <c r="F382" s="2" t="s">
        <v>71</v>
      </c>
      <c r="G382" s="2" t="s">
        <v>76</v>
      </c>
      <c r="H382" s="2" t="s">
        <v>181</v>
      </c>
      <c r="I382" s="2">
        <v>3</v>
      </c>
      <c r="J382" s="2">
        <v>473</v>
      </c>
      <c r="K382" s="2">
        <v>10</v>
      </c>
      <c r="L382" s="2">
        <v>141.9</v>
      </c>
      <c r="M382" s="2">
        <v>1277.0999999999999</v>
      </c>
      <c r="N382" s="2" t="s">
        <v>56</v>
      </c>
      <c r="O382" s="2">
        <v>3</v>
      </c>
      <c r="P382" s="2" t="s">
        <v>24</v>
      </c>
    </row>
    <row r="383" spans="1:16" x14ac:dyDescent="0.25">
      <c r="A383" s="4">
        <v>45120</v>
      </c>
      <c r="B383" s="2" t="s">
        <v>782</v>
      </c>
      <c r="C383" s="2" t="s">
        <v>618</v>
      </c>
      <c r="D383" t="s">
        <v>84</v>
      </c>
      <c r="E383" s="2" t="s">
        <v>85</v>
      </c>
      <c r="F383" s="2" t="s">
        <v>71</v>
      </c>
      <c r="G383" s="2" t="s">
        <v>76</v>
      </c>
      <c r="H383" s="2" t="s">
        <v>181</v>
      </c>
      <c r="I383" s="2">
        <v>3</v>
      </c>
      <c r="J383" s="2">
        <v>1191</v>
      </c>
      <c r="K383" s="2">
        <v>5</v>
      </c>
      <c r="L383" s="2">
        <v>178.65</v>
      </c>
      <c r="M383" s="2">
        <v>3394.35</v>
      </c>
      <c r="N383" s="2" t="s">
        <v>44</v>
      </c>
      <c r="O383" s="2">
        <v>2</v>
      </c>
      <c r="P383" s="2" t="s">
        <v>24</v>
      </c>
    </row>
    <row r="384" spans="1:16" x14ac:dyDescent="0.25">
      <c r="A384" s="4">
        <v>45121</v>
      </c>
      <c r="B384" s="2" t="s">
        <v>783</v>
      </c>
      <c r="C384" s="2" t="s">
        <v>302</v>
      </c>
      <c r="D384" t="s">
        <v>47</v>
      </c>
      <c r="E384" s="2" t="s">
        <v>48</v>
      </c>
      <c r="F384" s="2" t="s">
        <v>61</v>
      </c>
      <c r="G384" s="2" t="s">
        <v>150</v>
      </c>
      <c r="H384" s="2" t="s">
        <v>359</v>
      </c>
      <c r="I384" s="2">
        <v>1</v>
      </c>
      <c r="J384" s="2">
        <v>534</v>
      </c>
      <c r="K384" s="2">
        <v>0</v>
      </c>
      <c r="L384" s="2">
        <v>0</v>
      </c>
      <c r="M384" s="2">
        <v>534</v>
      </c>
      <c r="N384" s="2" t="s">
        <v>23</v>
      </c>
      <c r="O384" s="2">
        <v>5</v>
      </c>
      <c r="P384" s="2" t="s">
        <v>24</v>
      </c>
    </row>
    <row r="385" spans="1:16" x14ac:dyDescent="0.25">
      <c r="A385" s="4">
        <v>45122</v>
      </c>
      <c r="B385" s="2" t="s">
        <v>784</v>
      </c>
      <c r="C385" s="2" t="s">
        <v>299</v>
      </c>
      <c r="D385" t="s">
        <v>41</v>
      </c>
      <c r="E385" s="2" t="s">
        <v>19</v>
      </c>
      <c r="F385" s="2" t="s">
        <v>71</v>
      </c>
      <c r="G385" s="2" t="s">
        <v>86</v>
      </c>
      <c r="H385" s="2" t="s">
        <v>145</v>
      </c>
      <c r="I385" s="2">
        <v>1</v>
      </c>
      <c r="J385" s="2">
        <v>1459</v>
      </c>
      <c r="K385" s="2">
        <v>10</v>
      </c>
      <c r="L385" s="2">
        <v>145.9</v>
      </c>
      <c r="M385" s="2">
        <v>1313.1</v>
      </c>
      <c r="N385" s="2" t="s">
        <v>23</v>
      </c>
      <c r="O385" s="2">
        <v>4</v>
      </c>
      <c r="P385" s="2" t="s">
        <v>24</v>
      </c>
    </row>
    <row r="386" spans="1:16" x14ac:dyDescent="0.25">
      <c r="A386" s="4">
        <v>45123</v>
      </c>
      <c r="B386" s="2" t="s">
        <v>785</v>
      </c>
      <c r="C386" s="2" t="s">
        <v>422</v>
      </c>
      <c r="D386" t="s">
        <v>174</v>
      </c>
      <c r="E386" s="2" t="s">
        <v>60</v>
      </c>
      <c r="F386" s="2" t="s">
        <v>61</v>
      </c>
      <c r="G386" s="2" t="s">
        <v>150</v>
      </c>
      <c r="H386" s="2" t="s">
        <v>501</v>
      </c>
      <c r="I386" s="2">
        <v>1</v>
      </c>
      <c r="J386" s="2">
        <v>986</v>
      </c>
      <c r="K386" s="2">
        <v>15</v>
      </c>
      <c r="L386" s="2">
        <v>147.9</v>
      </c>
      <c r="M386" s="2">
        <v>838.1</v>
      </c>
      <c r="N386" s="2" t="s">
        <v>38</v>
      </c>
      <c r="O386" s="2">
        <v>2</v>
      </c>
      <c r="P386" s="2" t="s">
        <v>24</v>
      </c>
    </row>
    <row r="387" spans="1:16" x14ac:dyDescent="0.25">
      <c r="A387" s="4">
        <v>45124</v>
      </c>
      <c r="B387" s="2" t="s">
        <v>786</v>
      </c>
      <c r="C387" s="2" t="s">
        <v>569</v>
      </c>
      <c r="D387" t="s">
        <v>53</v>
      </c>
      <c r="E387" s="2" t="s">
        <v>53</v>
      </c>
      <c r="F387" s="2" t="s">
        <v>35</v>
      </c>
      <c r="G387" s="2" t="s">
        <v>80</v>
      </c>
      <c r="H387" s="2" t="s">
        <v>520</v>
      </c>
      <c r="I387" s="2">
        <v>2</v>
      </c>
      <c r="J387" s="2">
        <v>32608</v>
      </c>
      <c r="K387" s="2">
        <v>5</v>
      </c>
      <c r="L387" s="2">
        <v>3260.8</v>
      </c>
      <c r="M387" s="2">
        <v>61955.199999999997</v>
      </c>
      <c r="N387" s="2" t="s">
        <v>44</v>
      </c>
      <c r="O387" s="2">
        <v>4</v>
      </c>
      <c r="P387" s="2" t="s">
        <v>24</v>
      </c>
    </row>
    <row r="388" spans="1:16" x14ac:dyDescent="0.25">
      <c r="A388" s="4">
        <v>45125</v>
      </c>
      <c r="B388" s="2" t="s">
        <v>787</v>
      </c>
      <c r="C388" s="2" t="s">
        <v>548</v>
      </c>
      <c r="D388" t="s">
        <v>41</v>
      </c>
      <c r="E388" s="2" t="s">
        <v>19</v>
      </c>
      <c r="F388" s="2" t="s">
        <v>71</v>
      </c>
      <c r="G388" s="2" t="s">
        <v>86</v>
      </c>
      <c r="H388" s="2" t="s">
        <v>616</v>
      </c>
      <c r="I388" s="2">
        <v>1</v>
      </c>
      <c r="J388" s="2">
        <v>985</v>
      </c>
      <c r="K388" s="2">
        <v>15</v>
      </c>
      <c r="L388" s="2">
        <v>147.75</v>
      </c>
      <c r="M388" s="2">
        <v>837.25</v>
      </c>
      <c r="N388" s="2" t="s">
        <v>23</v>
      </c>
      <c r="O388" s="2">
        <v>5</v>
      </c>
      <c r="P388" s="2" t="s">
        <v>24</v>
      </c>
    </row>
    <row r="389" spans="1:16" x14ac:dyDescent="0.25">
      <c r="A389" s="4">
        <v>45126</v>
      </c>
      <c r="B389" s="2" t="s">
        <v>788</v>
      </c>
      <c r="C389" s="2" t="s">
        <v>729</v>
      </c>
      <c r="D389" t="s">
        <v>59</v>
      </c>
      <c r="E389" s="2" t="s">
        <v>60</v>
      </c>
      <c r="F389" s="2" t="s">
        <v>35</v>
      </c>
      <c r="G389" s="2" t="s">
        <v>124</v>
      </c>
      <c r="H389" s="2" t="s">
        <v>142</v>
      </c>
      <c r="I389" s="2">
        <v>1</v>
      </c>
      <c r="J389" s="2">
        <v>3730</v>
      </c>
      <c r="K389" s="2">
        <v>15</v>
      </c>
      <c r="L389" s="2">
        <v>559.5</v>
      </c>
      <c r="M389" s="2">
        <v>3170.5</v>
      </c>
      <c r="N389" s="2" t="s">
        <v>44</v>
      </c>
      <c r="O389" s="2">
        <v>3</v>
      </c>
      <c r="P389" s="2" t="s">
        <v>24</v>
      </c>
    </row>
    <row r="390" spans="1:16" x14ac:dyDescent="0.25">
      <c r="A390" s="4">
        <v>45127</v>
      </c>
      <c r="B390" s="2" t="s">
        <v>789</v>
      </c>
      <c r="C390" s="2" t="s">
        <v>790</v>
      </c>
      <c r="D390" t="s">
        <v>27</v>
      </c>
      <c r="E390" s="2" t="s">
        <v>19</v>
      </c>
      <c r="F390" s="2" t="s">
        <v>28</v>
      </c>
      <c r="G390" s="2" t="s">
        <v>188</v>
      </c>
      <c r="H390" s="2" t="s">
        <v>292</v>
      </c>
      <c r="I390" s="2">
        <v>1</v>
      </c>
      <c r="J390" s="2">
        <v>1327</v>
      </c>
      <c r="K390" s="2">
        <v>15</v>
      </c>
      <c r="L390" s="2">
        <v>199.05</v>
      </c>
      <c r="M390" s="2">
        <v>1127.95</v>
      </c>
      <c r="N390" s="2" t="s">
        <v>56</v>
      </c>
      <c r="O390" s="2">
        <v>1</v>
      </c>
      <c r="P390" s="2" t="s">
        <v>24</v>
      </c>
    </row>
    <row r="391" spans="1:16" x14ac:dyDescent="0.25">
      <c r="A391" s="4">
        <v>45128</v>
      </c>
      <c r="B391" s="2" t="s">
        <v>791</v>
      </c>
      <c r="C391" s="2" t="s">
        <v>319</v>
      </c>
      <c r="D391" t="s">
        <v>66</v>
      </c>
      <c r="E391" s="2" t="s">
        <v>19</v>
      </c>
      <c r="F391" s="2" t="s">
        <v>35</v>
      </c>
      <c r="G391" s="2" t="s">
        <v>80</v>
      </c>
      <c r="H391" s="2" t="s">
        <v>520</v>
      </c>
      <c r="I391" s="2">
        <v>1</v>
      </c>
      <c r="J391" s="2">
        <v>13733</v>
      </c>
      <c r="K391" s="2">
        <v>10</v>
      </c>
      <c r="L391" s="2">
        <v>1373.3</v>
      </c>
      <c r="M391" s="2">
        <v>12359.7</v>
      </c>
      <c r="N391" s="2" t="s">
        <v>44</v>
      </c>
      <c r="O391" s="2">
        <v>7</v>
      </c>
      <c r="P391" s="2" t="s">
        <v>24</v>
      </c>
    </row>
    <row r="392" spans="1:16" x14ac:dyDescent="0.25">
      <c r="A392" s="4">
        <v>45129</v>
      </c>
      <c r="B392" s="2" t="s">
        <v>792</v>
      </c>
      <c r="C392" s="2" t="s">
        <v>519</v>
      </c>
      <c r="D392" t="s">
        <v>33</v>
      </c>
      <c r="E392" s="2" t="s">
        <v>34</v>
      </c>
      <c r="F392" s="2" t="s">
        <v>61</v>
      </c>
      <c r="G392" s="2" t="s">
        <v>200</v>
      </c>
      <c r="H392" s="2" t="s">
        <v>587</v>
      </c>
      <c r="I392" s="2">
        <v>1</v>
      </c>
      <c r="J392" s="2">
        <v>477</v>
      </c>
      <c r="K392" s="2">
        <v>5</v>
      </c>
      <c r="L392" s="2">
        <v>23.85</v>
      </c>
      <c r="M392" s="2">
        <v>453.15</v>
      </c>
      <c r="N392" s="2" t="s">
        <v>23</v>
      </c>
      <c r="O392" s="2">
        <v>2</v>
      </c>
      <c r="P392" s="2" t="s">
        <v>24</v>
      </c>
    </row>
    <row r="393" spans="1:16" x14ac:dyDescent="0.25">
      <c r="A393" s="4">
        <v>45130</v>
      </c>
      <c r="B393" s="2" t="s">
        <v>793</v>
      </c>
      <c r="C393" s="2" t="s">
        <v>769</v>
      </c>
      <c r="D393" t="s">
        <v>174</v>
      </c>
      <c r="E393" s="2" t="s">
        <v>60</v>
      </c>
      <c r="F393" s="2" t="s">
        <v>28</v>
      </c>
      <c r="G393" s="2" t="s">
        <v>90</v>
      </c>
      <c r="H393" s="2" t="s">
        <v>333</v>
      </c>
      <c r="I393" s="2">
        <v>2</v>
      </c>
      <c r="J393" s="2">
        <v>3837</v>
      </c>
      <c r="K393" s="2">
        <v>0</v>
      </c>
      <c r="L393" s="2">
        <v>0</v>
      </c>
      <c r="M393" s="2">
        <v>7674</v>
      </c>
      <c r="N393" s="2" t="s">
        <v>23</v>
      </c>
      <c r="O393" s="2">
        <v>4</v>
      </c>
      <c r="P393" s="2" t="s">
        <v>24</v>
      </c>
    </row>
    <row r="394" spans="1:16" x14ac:dyDescent="0.25">
      <c r="A394" s="4">
        <v>45131</v>
      </c>
      <c r="B394" s="2" t="s">
        <v>794</v>
      </c>
      <c r="C394" s="2" t="s">
        <v>645</v>
      </c>
      <c r="D394" t="s">
        <v>41</v>
      </c>
      <c r="E394" s="2" t="s">
        <v>19</v>
      </c>
      <c r="F394" s="2" t="s">
        <v>20</v>
      </c>
      <c r="G394" s="2" t="s">
        <v>54</v>
      </c>
      <c r="H394" s="2" t="s">
        <v>269</v>
      </c>
      <c r="I394" s="2">
        <v>1</v>
      </c>
      <c r="J394" s="2">
        <v>6914</v>
      </c>
      <c r="K394" s="2">
        <v>15</v>
      </c>
      <c r="L394" s="2">
        <v>1037.0999999999999</v>
      </c>
      <c r="M394" s="2">
        <v>5876.9</v>
      </c>
      <c r="N394" s="2" t="s">
        <v>23</v>
      </c>
      <c r="O394" s="2">
        <v>3</v>
      </c>
      <c r="P394" s="2" t="s">
        <v>24</v>
      </c>
    </row>
    <row r="395" spans="1:16" x14ac:dyDescent="0.25">
      <c r="A395" s="4">
        <v>45132</v>
      </c>
      <c r="B395" s="2" t="s">
        <v>795</v>
      </c>
      <c r="C395" s="2" t="s">
        <v>796</v>
      </c>
      <c r="D395" t="s">
        <v>59</v>
      </c>
      <c r="E395" s="2" t="s">
        <v>60</v>
      </c>
      <c r="F395" s="2" t="s">
        <v>61</v>
      </c>
      <c r="G395" s="2" t="s">
        <v>262</v>
      </c>
      <c r="H395" s="2" t="s">
        <v>263</v>
      </c>
      <c r="I395" s="2">
        <v>1</v>
      </c>
      <c r="J395" s="2">
        <v>1419</v>
      </c>
      <c r="K395" s="2">
        <v>5</v>
      </c>
      <c r="L395" s="2">
        <v>70.95</v>
      </c>
      <c r="M395" s="2">
        <v>1348.05</v>
      </c>
      <c r="N395" s="2" t="s">
        <v>44</v>
      </c>
      <c r="O395" s="2">
        <v>2</v>
      </c>
      <c r="P395" s="2" t="s">
        <v>24</v>
      </c>
    </row>
    <row r="396" spans="1:16" x14ac:dyDescent="0.25">
      <c r="A396" s="4">
        <v>45133</v>
      </c>
      <c r="B396" s="2" t="s">
        <v>797</v>
      </c>
      <c r="C396" s="2" t="s">
        <v>405</v>
      </c>
      <c r="D396" t="s">
        <v>18</v>
      </c>
      <c r="E396" s="2" t="s">
        <v>19</v>
      </c>
      <c r="F396" s="2" t="s">
        <v>28</v>
      </c>
      <c r="G396" s="2" t="s">
        <v>110</v>
      </c>
      <c r="H396" s="2" t="s">
        <v>111</v>
      </c>
      <c r="I396" s="2">
        <v>2</v>
      </c>
      <c r="J396" s="2">
        <v>3112</v>
      </c>
      <c r="K396" s="2">
        <v>0</v>
      </c>
      <c r="L396" s="2">
        <v>0</v>
      </c>
      <c r="M396" s="2">
        <v>6224</v>
      </c>
      <c r="N396" s="2" t="s">
        <v>38</v>
      </c>
      <c r="O396" s="2">
        <v>2</v>
      </c>
      <c r="P396" s="2" t="s">
        <v>24</v>
      </c>
    </row>
    <row r="397" spans="1:16" x14ac:dyDescent="0.25">
      <c r="A397" s="4">
        <v>45134</v>
      </c>
      <c r="B397" s="2" t="s">
        <v>798</v>
      </c>
      <c r="C397" s="2" t="s">
        <v>586</v>
      </c>
      <c r="D397" t="s">
        <v>27</v>
      </c>
      <c r="E397" s="2" t="s">
        <v>19</v>
      </c>
      <c r="F397" s="2" t="s">
        <v>28</v>
      </c>
      <c r="G397" s="2" t="s">
        <v>188</v>
      </c>
      <c r="H397" s="2" t="s">
        <v>192</v>
      </c>
      <c r="I397" s="2">
        <v>1</v>
      </c>
      <c r="J397" s="2">
        <v>1162</v>
      </c>
      <c r="K397" s="2">
        <v>5</v>
      </c>
      <c r="L397" s="2">
        <v>58.1</v>
      </c>
      <c r="M397" s="2">
        <v>1103.9000000000001</v>
      </c>
      <c r="N397" s="2" t="s">
        <v>50</v>
      </c>
      <c r="O397" s="2">
        <v>1</v>
      </c>
      <c r="P397" s="2" t="s">
        <v>24</v>
      </c>
    </row>
    <row r="398" spans="1:16" x14ac:dyDescent="0.25">
      <c r="A398" s="4">
        <v>45135</v>
      </c>
      <c r="B398" s="2" t="s">
        <v>799</v>
      </c>
      <c r="C398" s="2" t="s">
        <v>391</v>
      </c>
      <c r="D398" t="s">
        <v>33</v>
      </c>
      <c r="E398" s="2" t="s">
        <v>34</v>
      </c>
      <c r="F398" s="2" t="s">
        <v>20</v>
      </c>
      <c r="G398" s="2" t="s">
        <v>170</v>
      </c>
      <c r="H398" s="2" t="s">
        <v>171</v>
      </c>
      <c r="I398" s="2">
        <v>1</v>
      </c>
      <c r="J398" s="2">
        <v>4617</v>
      </c>
      <c r="K398" s="2">
        <v>0</v>
      </c>
      <c r="L398" s="2">
        <v>0</v>
      </c>
      <c r="M398" s="2">
        <v>4617</v>
      </c>
      <c r="N398" s="2" t="s">
        <v>23</v>
      </c>
      <c r="O398" s="2">
        <v>1</v>
      </c>
      <c r="P398" s="2" t="s">
        <v>24</v>
      </c>
    </row>
    <row r="399" spans="1:16" x14ac:dyDescent="0.25">
      <c r="A399" s="4">
        <v>45136</v>
      </c>
      <c r="B399" s="2" t="s">
        <v>800</v>
      </c>
      <c r="C399" s="2" t="s">
        <v>801</v>
      </c>
      <c r="D399" t="s">
        <v>33</v>
      </c>
      <c r="E399" s="2" t="s">
        <v>34</v>
      </c>
      <c r="F399" s="2" t="s">
        <v>61</v>
      </c>
      <c r="G399" s="2" t="s">
        <v>250</v>
      </c>
      <c r="H399" s="2" t="s">
        <v>256</v>
      </c>
      <c r="I399" s="2">
        <v>1</v>
      </c>
      <c r="J399" s="2">
        <v>1327</v>
      </c>
      <c r="K399" s="2">
        <v>5</v>
      </c>
      <c r="L399" s="2">
        <v>66.349999999999994</v>
      </c>
      <c r="M399" s="2">
        <v>1260.6500000000001</v>
      </c>
      <c r="N399" s="2" t="s">
        <v>23</v>
      </c>
      <c r="O399" s="2">
        <v>3</v>
      </c>
      <c r="P399" s="2" t="s">
        <v>24</v>
      </c>
    </row>
    <row r="400" spans="1:16" x14ac:dyDescent="0.25">
      <c r="A400" s="4">
        <v>45137</v>
      </c>
      <c r="B400" s="2" t="s">
        <v>802</v>
      </c>
      <c r="C400" s="2" t="s">
        <v>258</v>
      </c>
      <c r="D400" t="s">
        <v>66</v>
      </c>
      <c r="E400" s="2" t="s">
        <v>19</v>
      </c>
      <c r="F400" s="2" t="s">
        <v>28</v>
      </c>
      <c r="G400" s="2" t="s">
        <v>29</v>
      </c>
      <c r="H400" s="2" t="s">
        <v>488</v>
      </c>
      <c r="I400" s="2">
        <v>2</v>
      </c>
      <c r="J400" s="2">
        <v>412</v>
      </c>
      <c r="K400" s="2">
        <v>10</v>
      </c>
      <c r="L400" s="2">
        <v>82.4</v>
      </c>
      <c r="M400" s="2">
        <v>741.6</v>
      </c>
      <c r="N400" s="2" t="s">
        <v>23</v>
      </c>
      <c r="O400" s="2">
        <v>4</v>
      </c>
      <c r="P400" s="2" t="s">
        <v>24</v>
      </c>
    </row>
    <row r="401" spans="1:16" x14ac:dyDescent="0.25">
      <c r="A401" s="4">
        <v>45138</v>
      </c>
      <c r="B401" s="2" t="s">
        <v>803</v>
      </c>
      <c r="C401" s="2" t="s">
        <v>804</v>
      </c>
      <c r="D401" t="s">
        <v>59</v>
      </c>
      <c r="E401" s="2" t="s">
        <v>60</v>
      </c>
      <c r="F401" s="2" t="s">
        <v>35</v>
      </c>
      <c r="G401" s="2" t="s">
        <v>130</v>
      </c>
      <c r="H401" s="2" t="s">
        <v>167</v>
      </c>
      <c r="I401" s="2">
        <v>1</v>
      </c>
      <c r="J401" s="2">
        <v>14415</v>
      </c>
      <c r="K401" s="2">
        <v>0</v>
      </c>
      <c r="L401" s="2">
        <v>0</v>
      </c>
      <c r="M401" s="2">
        <v>14415</v>
      </c>
      <c r="N401" s="2" t="s">
        <v>44</v>
      </c>
      <c r="O401" s="2">
        <v>3</v>
      </c>
      <c r="P401" s="2" t="s">
        <v>24</v>
      </c>
    </row>
    <row r="402" spans="1:16" x14ac:dyDescent="0.25">
      <c r="A402" s="4">
        <v>45139</v>
      </c>
      <c r="B402" s="2" t="s">
        <v>805</v>
      </c>
      <c r="C402" s="2" t="s">
        <v>308</v>
      </c>
      <c r="D402" t="s">
        <v>33</v>
      </c>
      <c r="E402" s="2" t="s">
        <v>34</v>
      </c>
      <c r="F402" s="2" t="s">
        <v>20</v>
      </c>
      <c r="G402" s="2" t="s">
        <v>139</v>
      </c>
      <c r="H402" s="2" t="s">
        <v>327</v>
      </c>
      <c r="I402" s="2">
        <v>2</v>
      </c>
      <c r="J402" s="2">
        <v>1889</v>
      </c>
      <c r="K402" s="2">
        <v>15</v>
      </c>
      <c r="L402" s="2">
        <v>566.70000000000005</v>
      </c>
      <c r="M402" s="2">
        <v>3211.3</v>
      </c>
      <c r="N402" s="2" t="s">
        <v>50</v>
      </c>
      <c r="O402" s="2">
        <v>2</v>
      </c>
      <c r="P402" s="2" t="s">
        <v>24</v>
      </c>
    </row>
    <row r="403" spans="1:16" x14ac:dyDescent="0.25">
      <c r="A403" s="4">
        <v>45140</v>
      </c>
      <c r="B403" s="2" t="s">
        <v>806</v>
      </c>
      <c r="C403" s="2" t="s">
        <v>807</v>
      </c>
      <c r="D403" t="s">
        <v>66</v>
      </c>
      <c r="E403" s="2" t="s">
        <v>19</v>
      </c>
      <c r="F403" s="2" t="s">
        <v>28</v>
      </c>
      <c r="G403" s="2" t="s">
        <v>188</v>
      </c>
      <c r="H403" s="2" t="s">
        <v>192</v>
      </c>
      <c r="I403" s="2">
        <v>2</v>
      </c>
      <c r="J403" s="2">
        <v>3791</v>
      </c>
      <c r="K403" s="2">
        <v>15</v>
      </c>
      <c r="L403" s="2">
        <v>1137.3</v>
      </c>
      <c r="M403" s="2">
        <v>6444.7</v>
      </c>
      <c r="N403" s="2" t="s">
        <v>23</v>
      </c>
      <c r="O403" s="2">
        <v>3</v>
      </c>
      <c r="P403" s="2" t="s">
        <v>24</v>
      </c>
    </row>
    <row r="404" spans="1:16" x14ac:dyDescent="0.25">
      <c r="A404" s="4">
        <v>45141</v>
      </c>
      <c r="B404" s="2" t="s">
        <v>808</v>
      </c>
      <c r="C404" s="2" t="s">
        <v>780</v>
      </c>
      <c r="D404" t="s">
        <v>27</v>
      </c>
      <c r="E404" s="2" t="s">
        <v>19</v>
      </c>
      <c r="F404" s="2" t="s">
        <v>35</v>
      </c>
      <c r="G404" s="2" t="s">
        <v>80</v>
      </c>
      <c r="H404" s="2" t="s">
        <v>81</v>
      </c>
      <c r="I404" s="2">
        <v>1</v>
      </c>
      <c r="J404" s="2">
        <v>23673</v>
      </c>
      <c r="K404" s="2">
        <v>5</v>
      </c>
      <c r="L404" s="2">
        <v>1183.6500000000001</v>
      </c>
      <c r="M404" s="2">
        <v>22489.35</v>
      </c>
      <c r="N404" s="2" t="s">
        <v>50</v>
      </c>
      <c r="O404" s="2">
        <v>3</v>
      </c>
      <c r="P404" s="2" t="s">
        <v>24</v>
      </c>
    </row>
    <row r="405" spans="1:16" x14ac:dyDescent="0.25">
      <c r="A405" s="4">
        <v>45142</v>
      </c>
      <c r="B405" s="2" t="s">
        <v>809</v>
      </c>
      <c r="C405" s="2" t="s">
        <v>1478</v>
      </c>
      <c r="D405" t="s">
        <v>41</v>
      </c>
      <c r="E405" s="2" t="s">
        <v>19</v>
      </c>
      <c r="F405" s="2" t="s">
        <v>61</v>
      </c>
      <c r="G405" s="2" t="s">
        <v>62</v>
      </c>
      <c r="H405" s="2" t="s">
        <v>414</v>
      </c>
      <c r="I405" s="2">
        <v>1</v>
      </c>
      <c r="J405" s="2">
        <v>214</v>
      </c>
      <c r="K405" s="2">
        <v>5</v>
      </c>
      <c r="L405" s="2">
        <v>10.7</v>
      </c>
      <c r="M405" s="2">
        <v>203.3</v>
      </c>
      <c r="N405" s="2" t="s">
        <v>50</v>
      </c>
      <c r="O405" s="2">
        <v>2</v>
      </c>
      <c r="P405" s="2" t="s">
        <v>24</v>
      </c>
    </row>
    <row r="406" spans="1:16" x14ac:dyDescent="0.25">
      <c r="A406" s="4">
        <v>45143</v>
      </c>
      <c r="B406" s="2" t="s">
        <v>810</v>
      </c>
      <c r="C406" s="2" t="s">
        <v>273</v>
      </c>
      <c r="D406" t="s">
        <v>53</v>
      </c>
      <c r="E406" s="2" t="s">
        <v>53</v>
      </c>
      <c r="F406" s="2" t="s">
        <v>71</v>
      </c>
      <c r="G406" s="2" t="s">
        <v>72</v>
      </c>
      <c r="H406" s="2" t="s">
        <v>266</v>
      </c>
      <c r="I406" s="2">
        <v>1</v>
      </c>
      <c r="J406" s="2">
        <v>958</v>
      </c>
      <c r="K406" s="2">
        <v>5</v>
      </c>
      <c r="L406" s="2">
        <v>47.9</v>
      </c>
      <c r="M406" s="2">
        <v>910.1</v>
      </c>
      <c r="N406" s="2" t="s">
        <v>44</v>
      </c>
      <c r="O406" s="2">
        <v>5</v>
      </c>
      <c r="P406" s="2" t="s">
        <v>24</v>
      </c>
    </row>
    <row r="407" spans="1:16" x14ac:dyDescent="0.25">
      <c r="A407" s="4">
        <v>45144</v>
      </c>
      <c r="B407" s="2" t="s">
        <v>811</v>
      </c>
      <c r="C407" s="2" t="s">
        <v>381</v>
      </c>
      <c r="D407" t="s">
        <v>27</v>
      </c>
      <c r="E407" s="2" t="s">
        <v>19</v>
      </c>
      <c r="F407" s="2" t="s">
        <v>20</v>
      </c>
      <c r="G407" s="2" t="s">
        <v>139</v>
      </c>
      <c r="H407" s="2" t="s">
        <v>492</v>
      </c>
      <c r="I407" s="2">
        <v>2</v>
      </c>
      <c r="J407" s="2">
        <v>5843</v>
      </c>
      <c r="K407" s="2">
        <v>10</v>
      </c>
      <c r="L407" s="2">
        <v>1168.5999999999999</v>
      </c>
      <c r="M407" s="2">
        <v>10517.4</v>
      </c>
      <c r="N407" s="2" t="s">
        <v>50</v>
      </c>
      <c r="O407" s="2">
        <v>3</v>
      </c>
      <c r="P407" s="2" t="s">
        <v>24</v>
      </c>
    </row>
    <row r="408" spans="1:16" x14ac:dyDescent="0.25">
      <c r="A408" s="4">
        <v>45145</v>
      </c>
      <c r="B408" s="2" t="s">
        <v>812</v>
      </c>
      <c r="C408" s="2" t="s">
        <v>813</v>
      </c>
      <c r="D408" t="s">
        <v>18</v>
      </c>
      <c r="E408" s="2" t="s">
        <v>19</v>
      </c>
      <c r="F408" s="2" t="s">
        <v>20</v>
      </c>
      <c r="G408" s="2" t="s">
        <v>54</v>
      </c>
      <c r="H408" s="2" t="s">
        <v>441</v>
      </c>
      <c r="I408" s="2">
        <v>2</v>
      </c>
      <c r="J408" s="2">
        <v>7584</v>
      </c>
      <c r="K408" s="2">
        <v>5</v>
      </c>
      <c r="L408" s="2">
        <v>758.4</v>
      </c>
      <c r="M408" s="2">
        <v>14409.6</v>
      </c>
      <c r="N408" s="2" t="s">
        <v>56</v>
      </c>
      <c r="O408" s="2">
        <v>2</v>
      </c>
      <c r="P408" s="2" t="s">
        <v>24</v>
      </c>
    </row>
    <row r="409" spans="1:16" x14ac:dyDescent="0.25">
      <c r="A409" s="4">
        <v>45146</v>
      </c>
      <c r="B409" s="2" t="s">
        <v>814</v>
      </c>
      <c r="C409" s="2" t="s">
        <v>815</v>
      </c>
      <c r="D409" t="s">
        <v>53</v>
      </c>
      <c r="E409" s="2" t="s">
        <v>53</v>
      </c>
      <c r="F409" s="2" t="s">
        <v>20</v>
      </c>
      <c r="G409" s="2" t="s">
        <v>21</v>
      </c>
      <c r="H409" s="2" t="s">
        <v>22</v>
      </c>
      <c r="I409" s="2">
        <v>1</v>
      </c>
      <c r="J409" s="2">
        <v>6630</v>
      </c>
      <c r="K409" s="2">
        <v>0</v>
      </c>
      <c r="L409" s="2">
        <v>0</v>
      </c>
      <c r="M409" s="2">
        <v>6630</v>
      </c>
      <c r="N409" s="2" t="s">
        <v>23</v>
      </c>
      <c r="O409" s="2">
        <v>2</v>
      </c>
      <c r="P409" s="2" t="s">
        <v>24</v>
      </c>
    </row>
    <row r="410" spans="1:16" x14ac:dyDescent="0.25">
      <c r="A410" s="4">
        <v>45147</v>
      </c>
      <c r="B410" s="2" t="s">
        <v>816</v>
      </c>
      <c r="C410" s="2" t="s">
        <v>443</v>
      </c>
      <c r="D410" t="s">
        <v>27</v>
      </c>
      <c r="E410" s="2" t="s">
        <v>19</v>
      </c>
      <c r="F410" s="2" t="s">
        <v>35</v>
      </c>
      <c r="G410" s="2" t="s">
        <v>80</v>
      </c>
      <c r="H410" s="2" t="s">
        <v>81</v>
      </c>
      <c r="I410" s="2">
        <v>1</v>
      </c>
      <c r="J410" s="2">
        <v>21372</v>
      </c>
      <c r="K410" s="2">
        <v>5</v>
      </c>
      <c r="L410" s="2">
        <v>1068.5999999999999</v>
      </c>
      <c r="M410" s="2">
        <v>20303.400000000001</v>
      </c>
      <c r="N410" s="2" t="s">
        <v>23</v>
      </c>
      <c r="O410" s="2">
        <v>2</v>
      </c>
      <c r="P410" s="2" t="s">
        <v>24</v>
      </c>
    </row>
    <row r="411" spans="1:16" x14ac:dyDescent="0.25">
      <c r="A411" s="4">
        <v>45148</v>
      </c>
      <c r="B411" s="2" t="s">
        <v>817</v>
      </c>
      <c r="C411" s="2" t="s">
        <v>276</v>
      </c>
      <c r="D411" t="s">
        <v>66</v>
      </c>
      <c r="E411" s="2" t="s">
        <v>19</v>
      </c>
      <c r="F411" s="2" t="s">
        <v>35</v>
      </c>
      <c r="G411" s="2" t="s">
        <v>80</v>
      </c>
      <c r="H411" s="2" t="s">
        <v>274</v>
      </c>
      <c r="I411" s="2">
        <v>1</v>
      </c>
      <c r="J411" s="2">
        <v>3806</v>
      </c>
      <c r="K411" s="2">
        <v>5</v>
      </c>
      <c r="L411" s="2">
        <v>190.3</v>
      </c>
      <c r="M411" s="2">
        <v>3615.7</v>
      </c>
      <c r="N411" s="2" t="s">
        <v>23</v>
      </c>
      <c r="O411" s="2">
        <v>3</v>
      </c>
      <c r="P411" s="2" t="s">
        <v>24</v>
      </c>
    </row>
    <row r="412" spans="1:16" x14ac:dyDescent="0.25">
      <c r="A412" s="4">
        <v>45149</v>
      </c>
      <c r="B412" s="2" t="s">
        <v>818</v>
      </c>
      <c r="C412" s="2" t="s">
        <v>819</v>
      </c>
      <c r="D412" t="s">
        <v>41</v>
      </c>
      <c r="E412" s="2" t="s">
        <v>19</v>
      </c>
      <c r="F412" s="2" t="s">
        <v>20</v>
      </c>
      <c r="G412" s="2" t="s">
        <v>139</v>
      </c>
      <c r="H412" s="2" t="s">
        <v>727</v>
      </c>
      <c r="I412" s="2">
        <v>2</v>
      </c>
      <c r="J412" s="2">
        <v>7859</v>
      </c>
      <c r="K412" s="2">
        <v>5</v>
      </c>
      <c r="L412" s="2">
        <v>785.9</v>
      </c>
      <c r="M412" s="2">
        <v>14932.1</v>
      </c>
      <c r="N412" s="2" t="s">
        <v>23</v>
      </c>
      <c r="O412" s="2">
        <v>4</v>
      </c>
      <c r="P412" s="2" t="s">
        <v>24</v>
      </c>
    </row>
    <row r="413" spans="1:16" x14ac:dyDescent="0.25">
      <c r="A413" s="4">
        <v>45150</v>
      </c>
      <c r="B413" s="2" t="s">
        <v>820</v>
      </c>
      <c r="C413" s="2" t="s">
        <v>821</v>
      </c>
      <c r="D413" t="s">
        <v>33</v>
      </c>
      <c r="E413" s="2" t="s">
        <v>34</v>
      </c>
      <c r="F413" s="2" t="s">
        <v>61</v>
      </c>
      <c r="G413" s="2" t="s">
        <v>200</v>
      </c>
      <c r="H413" s="2" t="s">
        <v>226</v>
      </c>
      <c r="I413" s="2">
        <v>1</v>
      </c>
      <c r="J413" s="2">
        <v>1984</v>
      </c>
      <c r="K413" s="2">
        <v>0</v>
      </c>
      <c r="L413" s="2">
        <v>0</v>
      </c>
      <c r="M413" s="2">
        <v>1984</v>
      </c>
      <c r="N413" s="2" t="s">
        <v>50</v>
      </c>
      <c r="O413" s="2">
        <v>2</v>
      </c>
      <c r="P413" s="2" t="s">
        <v>24</v>
      </c>
    </row>
    <row r="414" spans="1:16" x14ac:dyDescent="0.25">
      <c r="A414" s="4">
        <v>45151</v>
      </c>
      <c r="B414" s="2" t="s">
        <v>822</v>
      </c>
      <c r="C414" s="2" t="s">
        <v>94</v>
      </c>
      <c r="D414" t="s">
        <v>47</v>
      </c>
      <c r="E414" s="2" t="s">
        <v>48</v>
      </c>
      <c r="F414" s="2" t="s">
        <v>61</v>
      </c>
      <c r="G414" s="2" t="s">
        <v>150</v>
      </c>
      <c r="H414" s="2" t="s">
        <v>209</v>
      </c>
      <c r="I414" s="2">
        <v>1</v>
      </c>
      <c r="J414" s="2">
        <v>1094</v>
      </c>
      <c r="K414" s="2">
        <v>0</v>
      </c>
      <c r="L414" s="2">
        <v>0</v>
      </c>
      <c r="M414" s="2">
        <v>1094</v>
      </c>
      <c r="N414" s="2" t="s">
        <v>23</v>
      </c>
      <c r="O414" s="2">
        <v>3</v>
      </c>
      <c r="P414" s="2" t="s">
        <v>24</v>
      </c>
    </row>
    <row r="415" spans="1:16" x14ac:dyDescent="0.25">
      <c r="A415" s="4">
        <v>45152</v>
      </c>
      <c r="B415" s="2" t="s">
        <v>823</v>
      </c>
      <c r="C415" s="2" t="s">
        <v>824</v>
      </c>
      <c r="D415" t="s">
        <v>59</v>
      </c>
      <c r="E415" s="2" t="s">
        <v>60</v>
      </c>
      <c r="F415" s="2" t="s">
        <v>35</v>
      </c>
      <c r="G415" s="2" t="s">
        <v>130</v>
      </c>
      <c r="H415" s="2" t="s">
        <v>131</v>
      </c>
      <c r="I415" s="2">
        <v>1</v>
      </c>
      <c r="J415" s="2">
        <v>20299</v>
      </c>
      <c r="K415" s="2">
        <v>5</v>
      </c>
      <c r="L415" s="2">
        <v>1014.95</v>
      </c>
      <c r="M415" s="2">
        <v>19284.05</v>
      </c>
      <c r="N415" s="2" t="s">
        <v>56</v>
      </c>
      <c r="O415" s="2">
        <v>3</v>
      </c>
      <c r="P415" s="2" t="s">
        <v>24</v>
      </c>
    </row>
    <row r="416" spans="1:16" x14ac:dyDescent="0.25">
      <c r="A416" s="4">
        <v>45153</v>
      </c>
      <c r="B416" s="2" t="s">
        <v>825</v>
      </c>
      <c r="C416" s="2" t="s">
        <v>826</v>
      </c>
      <c r="D416" t="s">
        <v>33</v>
      </c>
      <c r="E416" s="2" t="s">
        <v>34</v>
      </c>
      <c r="F416" s="2" t="s">
        <v>20</v>
      </c>
      <c r="G416" s="2" t="s">
        <v>21</v>
      </c>
      <c r="H416" s="2" t="s">
        <v>435</v>
      </c>
      <c r="I416" s="2">
        <v>1</v>
      </c>
      <c r="J416" s="2">
        <v>4760</v>
      </c>
      <c r="K416" s="2">
        <v>0</v>
      </c>
      <c r="L416" s="2">
        <v>0</v>
      </c>
      <c r="M416" s="2">
        <v>4760</v>
      </c>
      <c r="N416" s="2" t="s">
        <v>56</v>
      </c>
      <c r="O416" s="2">
        <v>3</v>
      </c>
      <c r="P416" s="2" t="s">
        <v>24</v>
      </c>
    </row>
    <row r="417" spans="1:16" x14ac:dyDescent="0.25">
      <c r="A417" s="4">
        <v>45154</v>
      </c>
      <c r="B417" s="2" t="s">
        <v>827</v>
      </c>
      <c r="C417" s="2" t="s">
        <v>586</v>
      </c>
      <c r="D417" t="s">
        <v>66</v>
      </c>
      <c r="E417" s="2" t="s">
        <v>19</v>
      </c>
      <c r="F417" s="2" t="s">
        <v>35</v>
      </c>
      <c r="G417" s="2" t="s">
        <v>124</v>
      </c>
      <c r="H417" s="2" t="s">
        <v>350</v>
      </c>
      <c r="I417" s="2">
        <v>1</v>
      </c>
      <c r="J417" s="2">
        <v>36878</v>
      </c>
      <c r="K417" s="2">
        <v>5</v>
      </c>
      <c r="L417" s="2">
        <v>1843.9</v>
      </c>
      <c r="M417" s="2">
        <v>35034.1</v>
      </c>
      <c r="N417" s="2" t="s">
        <v>50</v>
      </c>
      <c r="O417" s="2">
        <v>3</v>
      </c>
      <c r="P417" s="2" t="s">
        <v>24</v>
      </c>
    </row>
    <row r="418" spans="1:16" x14ac:dyDescent="0.25">
      <c r="A418" s="4">
        <v>45155</v>
      </c>
      <c r="B418" s="2" t="s">
        <v>828</v>
      </c>
      <c r="C418" s="2" t="s">
        <v>166</v>
      </c>
      <c r="D418" t="s">
        <v>47</v>
      </c>
      <c r="E418" s="2" t="s">
        <v>48</v>
      </c>
      <c r="F418" s="2" t="s">
        <v>61</v>
      </c>
      <c r="G418" s="2" t="s">
        <v>262</v>
      </c>
      <c r="H418" s="2" t="s">
        <v>482</v>
      </c>
      <c r="I418" s="2">
        <v>1</v>
      </c>
      <c r="J418" s="2">
        <v>450</v>
      </c>
      <c r="K418" s="2">
        <v>0</v>
      </c>
      <c r="L418" s="2">
        <v>0</v>
      </c>
      <c r="M418" s="2">
        <v>450</v>
      </c>
      <c r="N418" s="2" t="s">
        <v>50</v>
      </c>
      <c r="O418" s="2">
        <v>2</v>
      </c>
      <c r="P418" s="2" t="s">
        <v>24</v>
      </c>
    </row>
    <row r="419" spans="1:16" x14ac:dyDescent="0.25">
      <c r="A419" s="4">
        <v>45156</v>
      </c>
      <c r="B419" s="2" t="s">
        <v>829</v>
      </c>
      <c r="C419" s="2" t="s">
        <v>819</v>
      </c>
      <c r="D419" t="s">
        <v>53</v>
      </c>
      <c r="E419" s="2" t="s">
        <v>53</v>
      </c>
      <c r="F419" s="2" t="s">
        <v>28</v>
      </c>
      <c r="G419" s="2" t="s">
        <v>289</v>
      </c>
      <c r="H419" s="2" t="s">
        <v>300</v>
      </c>
      <c r="I419" s="2">
        <v>1</v>
      </c>
      <c r="J419" s="2">
        <v>3961</v>
      </c>
      <c r="K419" s="2">
        <v>5</v>
      </c>
      <c r="L419" s="2">
        <v>198.05</v>
      </c>
      <c r="M419" s="2">
        <v>3762.95</v>
      </c>
      <c r="N419" s="2" t="s">
        <v>56</v>
      </c>
      <c r="O419" s="2">
        <v>3</v>
      </c>
      <c r="P419" s="2" t="s">
        <v>24</v>
      </c>
    </row>
    <row r="420" spans="1:16" x14ac:dyDescent="0.25">
      <c r="A420" s="4">
        <v>45157</v>
      </c>
      <c r="B420" s="2" t="s">
        <v>830</v>
      </c>
      <c r="C420" s="2" t="s">
        <v>40</v>
      </c>
      <c r="D420" t="s">
        <v>18</v>
      </c>
      <c r="E420" s="2" t="s">
        <v>19</v>
      </c>
      <c r="F420" s="2" t="s">
        <v>20</v>
      </c>
      <c r="G420" s="2" t="s">
        <v>42</v>
      </c>
      <c r="H420" s="2" t="s">
        <v>195</v>
      </c>
      <c r="I420" s="2">
        <v>1</v>
      </c>
      <c r="J420" s="2">
        <v>1198</v>
      </c>
      <c r="K420" s="2">
        <v>15</v>
      </c>
      <c r="L420" s="2">
        <v>179.7</v>
      </c>
      <c r="M420" s="2">
        <v>1018.3</v>
      </c>
      <c r="N420" s="2" t="s">
        <v>23</v>
      </c>
      <c r="O420" s="2">
        <v>3</v>
      </c>
      <c r="P420" s="2" t="s">
        <v>24</v>
      </c>
    </row>
    <row r="421" spans="1:16" x14ac:dyDescent="0.25">
      <c r="A421" s="4">
        <v>45158</v>
      </c>
      <c r="B421" s="2" t="s">
        <v>831</v>
      </c>
      <c r="C421" s="2" t="s">
        <v>550</v>
      </c>
      <c r="D421" t="s">
        <v>59</v>
      </c>
      <c r="E421" s="2" t="s">
        <v>60</v>
      </c>
      <c r="F421" s="2" t="s">
        <v>61</v>
      </c>
      <c r="G421" s="2" t="s">
        <v>150</v>
      </c>
      <c r="H421" s="2" t="s">
        <v>501</v>
      </c>
      <c r="I421" s="2">
        <v>1</v>
      </c>
      <c r="J421" s="2">
        <v>535</v>
      </c>
      <c r="K421" s="2">
        <v>5</v>
      </c>
      <c r="L421" s="2">
        <v>26.75</v>
      </c>
      <c r="M421" s="2">
        <v>508.25</v>
      </c>
      <c r="N421" s="2" t="s">
        <v>44</v>
      </c>
      <c r="O421" s="2">
        <v>5</v>
      </c>
      <c r="P421" s="2" t="s">
        <v>24</v>
      </c>
    </row>
    <row r="422" spans="1:16" x14ac:dyDescent="0.25">
      <c r="A422" s="4">
        <v>45159</v>
      </c>
      <c r="B422" s="2" t="s">
        <v>832</v>
      </c>
      <c r="C422" s="2" t="s">
        <v>833</v>
      </c>
      <c r="D422" t="s">
        <v>174</v>
      </c>
      <c r="E422" s="2" t="s">
        <v>60</v>
      </c>
      <c r="F422" s="2" t="s">
        <v>35</v>
      </c>
      <c r="G422" s="2" t="s">
        <v>67</v>
      </c>
      <c r="H422" s="2" t="s">
        <v>68</v>
      </c>
      <c r="I422" s="2">
        <v>1</v>
      </c>
      <c r="J422" s="2">
        <v>32396</v>
      </c>
      <c r="K422" s="2">
        <v>10</v>
      </c>
      <c r="L422" s="2">
        <v>3239.6</v>
      </c>
      <c r="M422" s="2">
        <v>29156.400000000001</v>
      </c>
      <c r="N422" s="2" t="s">
        <v>50</v>
      </c>
      <c r="O422" s="2">
        <v>2</v>
      </c>
      <c r="P422" s="2" t="s">
        <v>24</v>
      </c>
    </row>
    <row r="423" spans="1:16" x14ac:dyDescent="0.25">
      <c r="A423" s="4">
        <v>45160</v>
      </c>
      <c r="B423" s="2" t="s">
        <v>834</v>
      </c>
      <c r="C423" s="2" t="s">
        <v>218</v>
      </c>
      <c r="D423" t="s">
        <v>41</v>
      </c>
      <c r="E423" s="2" t="s">
        <v>19</v>
      </c>
      <c r="F423" s="2" t="s">
        <v>28</v>
      </c>
      <c r="G423" s="2" t="s">
        <v>188</v>
      </c>
      <c r="H423" s="2" t="s">
        <v>192</v>
      </c>
      <c r="I423" s="2">
        <v>1</v>
      </c>
      <c r="J423" s="2">
        <v>3551</v>
      </c>
      <c r="K423" s="2">
        <v>5</v>
      </c>
      <c r="L423" s="2">
        <v>177.55</v>
      </c>
      <c r="M423" s="2">
        <v>3373.45</v>
      </c>
      <c r="N423" s="2" t="s">
        <v>23</v>
      </c>
      <c r="O423" s="2">
        <v>2</v>
      </c>
      <c r="P423" s="2" t="s">
        <v>24</v>
      </c>
    </row>
    <row r="424" spans="1:16" x14ac:dyDescent="0.25">
      <c r="A424" s="4">
        <v>45161</v>
      </c>
      <c r="B424" s="2" t="s">
        <v>835</v>
      </c>
      <c r="C424" s="2" t="s">
        <v>324</v>
      </c>
      <c r="D424" t="s">
        <v>84</v>
      </c>
      <c r="E424" s="2" t="s">
        <v>85</v>
      </c>
      <c r="F424" s="2" t="s">
        <v>61</v>
      </c>
      <c r="G424" s="2" t="s">
        <v>250</v>
      </c>
      <c r="H424" s="2" t="s">
        <v>504</v>
      </c>
      <c r="I424" s="2">
        <v>1</v>
      </c>
      <c r="J424" s="2">
        <v>904</v>
      </c>
      <c r="K424" s="2">
        <v>5</v>
      </c>
      <c r="L424" s="2">
        <v>45.2</v>
      </c>
      <c r="M424" s="2">
        <v>858.8</v>
      </c>
      <c r="N424" s="2" t="s">
        <v>38</v>
      </c>
      <c r="O424" s="2">
        <v>1</v>
      </c>
      <c r="P424" s="2" t="s">
        <v>24</v>
      </c>
    </row>
    <row r="425" spans="1:16" x14ac:dyDescent="0.25">
      <c r="A425" s="4">
        <v>45162</v>
      </c>
      <c r="B425" s="2" t="s">
        <v>836</v>
      </c>
      <c r="C425" s="2" t="s">
        <v>194</v>
      </c>
      <c r="D425" t="s">
        <v>66</v>
      </c>
      <c r="E425" s="2" t="s">
        <v>19</v>
      </c>
      <c r="F425" s="2" t="s">
        <v>71</v>
      </c>
      <c r="G425" s="2" t="s">
        <v>114</v>
      </c>
      <c r="H425" s="2" t="s">
        <v>115</v>
      </c>
      <c r="I425" s="2">
        <v>2</v>
      </c>
      <c r="J425" s="2">
        <v>1409</v>
      </c>
      <c r="K425" s="2">
        <v>20</v>
      </c>
      <c r="L425" s="2">
        <v>563.6</v>
      </c>
      <c r="M425" s="2">
        <v>2254.4</v>
      </c>
      <c r="N425" s="2" t="s">
        <v>23</v>
      </c>
      <c r="O425" s="2">
        <v>3</v>
      </c>
      <c r="P425" s="2" t="s">
        <v>24</v>
      </c>
    </row>
    <row r="426" spans="1:16" x14ac:dyDescent="0.25">
      <c r="A426" s="4">
        <v>45163</v>
      </c>
      <c r="B426" s="2" t="s">
        <v>837</v>
      </c>
      <c r="C426" s="2" t="s">
        <v>815</v>
      </c>
      <c r="D426" t="s">
        <v>41</v>
      </c>
      <c r="E426" s="2" t="s">
        <v>19</v>
      </c>
      <c r="F426" s="2" t="s">
        <v>35</v>
      </c>
      <c r="G426" s="2" t="s">
        <v>130</v>
      </c>
      <c r="H426" s="2" t="s">
        <v>131</v>
      </c>
      <c r="I426" s="2">
        <v>2</v>
      </c>
      <c r="J426" s="2">
        <v>31227</v>
      </c>
      <c r="K426" s="2">
        <v>10</v>
      </c>
      <c r="L426" s="2">
        <v>6245.4</v>
      </c>
      <c r="M426" s="2">
        <v>56208.6</v>
      </c>
      <c r="N426" s="2" t="s">
        <v>50</v>
      </c>
      <c r="O426" s="2">
        <v>5</v>
      </c>
      <c r="P426" s="2" t="s">
        <v>24</v>
      </c>
    </row>
    <row r="427" spans="1:16" x14ac:dyDescent="0.25">
      <c r="A427" s="4">
        <v>45164</v>
      </c>
      <c r="B427" s="2" t="s">
        <v>838</v>
      </c>
      <c r="C427" s="2" t="s">
        <v>228</v>
      </c>
      <c r="D427" t="s">
        <v>41</v>
      </c>
      <c r="E427" s="2" t="s">
        <v>19</v>
      </c>
      <c r="F427" s="2" t="s">
        <v>20</v>
      </c>
      <c r="G427" s="2" t="s">
        <v>42</v>
      </c>
      <c r="H427" s="2" t="s">
        <v>278</v>
      </c>
      <c r="I427" s="2">
        <v>1</v>
      </c>
      <c r="J427" s="2">
        <v>4992</v>
      </c>
      <c r="K427" s="2">
        <v>20</v>
      </c>
      <c r="L427" s="2">
        <v>998.4</v>
      </c>
      <c r="M427" s="2">
        <v>3993.6</v>
      </c>
      <c r="N427" s="2" t="s">
        <v>44</v>
      </c>
      <c r="O427" s="2">
        <v>7</v>
      </c>
      <c r="P427" s="2" t="s">
        <v>24</v>
      </c>
    </row>
    <row r="428" spans="1:16" x14ac:dyDescent="0.25">
      <c r="A428" s="4">
        <v>45165</v>
      </c>
      <c r="B428" s="2" t="s">
        <v>839</v>
      </c>
      <c r="C428" s="2" t="s">
        <v>833</v>
      </c>
      <c r="D428" t="s">
        <v>27</v>
      </c>
      <c r="E428" s="2" t="s">
        <v>19</v>
      </c>
      <c r="F428" s="2" t="s">
        <v>35</v>
      </c>
      <c r="G428" s="2" t="s">
        <v>130</v>
      </c>
      <c r="H428" s="2" t="s">
        <v>167</v>
      </c>
      <c r="I428" s="2">
        <v>1</v>
      </c>
      <c r="J428" s="2">
        <v>18913</v>
      </c>
      <c r="K428" s="2">
        <v>10</v>
      </c>
      <c r="L428" s="2">
        <v>1891.3</v>
      </c>
      <c r="M428" s="2">
        <v>17021.7</v>
      </c>
      <c r="N428" s="2" t="s">
        <v>56</v>
      </c>
      <c r="O428" s="2">
        <v>4</v>
      </c>
      <c r="P428" s="2" t="s">
        <v>24</v>
      </c>
    </row>
    <row r="429" spans="1:16" x14ac:dyDescent="0.25">
      <c r="A429" s="4">
        <v>45166</v>
      </c>
      <c r="B429" s="2" t="s">
        <v>840</v>
      </c>
      <c r="C429" s="2" t="s">
        <v>819</v>
      </c>
      <c r="D429" t="s">
        <v>47</v>
      </c>
      <c r="E429" s="2" t="s">
        <v>48</v>
      </c>
      <c r="F429" s="2" t="s">
        <v>28</v>
      </c>
      <c r="G429" s="2" t="s">
        <v>289</v>
      </c>
      <c r="H429" s="2" t="s">
        <v>439</v>
      </c>
      <c r="I429" s="2">
        <v>1</v>
      </c>
      <c r="J429" s="2">
        <v>671</v>
      </c>
      <c r="K429" s="2">
        <v>5</v>
      </c>
      <c r="L429" s="2">
        <v>33.549999999999997</v>
      </c>
      <c r="M429" s="2">
        <v>637.45000000000005</v>
      </c>
      <c r="N429" s="2" t="s">
        <v>44</v>
      </c>
      <c r="O429" s="2">
        <v>5</v>
      </c>
      <c r="P429" s="2" t="s">
        <v>24</v>
      </c>
    </row>
    <row r="430" spans="1:16" x14ac:dyDescent="0.25">
      <c r="A430" s="4">
        <v>45167</v>
      </c>
      <c r="B430" s="2" t="s">
        <v>841</v>
      </c>
      <c r="C430" s="2" t="s">
        <v>826</v>
      </c>
      <c r="D430" t="s">
        <v>53</v>
      </c>
      <c r="E430" s="2" t="s">
        <v>53</v>
      </c>
      <c r="F430" s="2" t="s">
        <v>61</v>
      </c>
      <c r="G430" s="2" t="s">
        <v>62</v>
      </c>
      <c r="H430" s="2" t="s">
        <v>156</v>
      </c>
      <c r="I430" s="2">
        <v>1</v>
      </c>
      <c r="J430" s="2">
        <v>691</v>
      </c>
      <c r="K430" s="2">
        <v>0</v>
      </c>
      <c r="L430" s="2">
        <v>0</v>
      </c>
      <c r="M430" s="2">
        <v>691</v>
      </c>
      <c r="N430" s="2" t="s">
        <v>50</v>
      </c>
      <c r="O430" s="2">
        <v>2</v>
      </c>
      <c r="P430" s="2" t="s">
        <v>24</v>
      </c>
    </row>
    <row r="431" spans="1:16" x14ac:dyDescent="0.25">
      <c r="A431" s="4">
        <v>45168</v>
      </c>
      <c r="B431" s="2" t="s">
        <v>842</v>
      </c>
      <c r="C431" s="2" t="s">
        <v>843</v>
      </c>
      <c r="D431" t="s">
        <v>53</v>
      </c>
      <c r="E431" s="2" t="s">
        <v>53</v>
      </c>
      <c r="F431" s="2" t="s">
        <v>61</v>
      </c>
      <c r="G431" s="2" t="s">
        <v>150</v>
      </c>
      <c r="H431" s="2" t="s">
        <v>501</v>
      </c>
      <c r="I431" s="2">
        <v>1</v>
      </c>
      <c r="J431" s="2">
        <v>741</v>
      </c>
      <c r="K431" s="2">
        <v>5</v>
      </c>
      <c r="L431" s="2">
        <v>37.049999999999997</v>
      </c>
      <c r="M431" s="2">
        <v>703.95</v>
      </c>
      <c r="N431" s="2" t="s">
        <v>23</v>
      </c>
      <c r="O431" s="2">
        <v>3</v>
      </c>
      <c r="P431" s="2" t="s">
        <v>24</v>
      </c>
    </row>
    <row r="432" spans="1:16" x14ac:dyDescent="0.25">
      <c r="A432" s="4">
        <v>45169</v>
      </c>
      <c r="B432" s="2" t="s">
        <v>844</v>
      </c>
      <c r="C432" s="2" t="s">
        <v>726</v>
      </c>
      <c r="D432" t="s">
        <v>27</v>
      </c>
      <c r="E432" s="2" t="s">
        <v>19</v>
      </c>
      <c r="F432" s="2" t="s">
        <v>20</v>
      </c>
      <c r="G432" s="2" t="s">
        <v>170</v>
      </c>
      <c r="H432" s="2" t="s">
        <v>563</v>
      </c>
      <c r="I432" s="2">
        <v>3</v>
      </c>
      <c r="J432" s="2">
        <v>2514</v>
      </c>
      <c r="K432" s="2">
        <v>0</v>
      </c>
      <c r="L432" s="2">
        <v>0</v>
      </c>
      <c r="M432" s="2">
        <v>7542</v>
      </c>
      <c r="N432" s="2" t="s">
        <v>56</v>
      </c>
      <c r="O432" s="2">
        <v>2</v>
      </c>
      <c r="P432" s="2" t="s">
        <v>24</v>
      </c>
    </row>
    <row r="433" spans="1:16" x14ac:dyDescent="0.25">
      <c r="A433" s="4">
        <v>45170</v>
      </c>
      <c r="B433" s="2" t="s">
        <v>845</v>
      </c>
      <c r="C433" s="2" t="s">
        <v>760</v>
      </c>
      <c r="D433" t="s">
        <v>41</v>
      </c>
      <c r="E433" s="2" t="s">
        <v>19</v>
      </c>
      <c r="F433" s="2" t="s">
        <v>28</v>
      </c>
      <c r="G433" s="2" t="s">
        <v>29</v>
      </c>
      <c r="H433" s="2" t="s">
        <v>259</v>
      </c>
      <c r="I433" s="2">
        <v>1</v>
      </c>
      <c r="J433" s="2">
        <v>2966</v>
      </c>
      <c r="K433" s="2">
        <v>0</v>
      </c>
      <c r="L433" s="2">
        <v>0</v>
      </c>
      <c r="M433" s="2">
        <v>2966</v>
      </c>
      <c r="N433" s="2" t="s">
        <v>23</v>
      </c>
      <c r="O433" s="2">
        <v>2</v>
      </c>
      <c r="P433" s="2" t="s">
        <v>24</v>
      </c>
    </row>
    <row r="434" spans="1:16" x14ac:dyDescent="0.25">
      <c r="A434" s="4">
        <v>45171</v>
      </c>
      <c r="B434" s="2" t="s">
        <v>846</v>
      </c>
      <c r="C434" s="2" t="s">
        <v>847</v>
      </c>
      <c r="D434" t="s">
        <v>66</v>
      </c>
      <c r="E434" s="2" t="s">
        <v>19</v>
      </c>
      <c r="F434" s="2" t="s">
        <v>20</v>
      </c>
      <c r="G434" s="2" t="s">
        <v>21</v>
      </c>
      <c r="H434" s="2" t="s">
        <v>49</v>
      </c>
      <c r="I434" s="2">
        <v>1</v>
      </c>
      <c r="J434" s="2">
        <v>5374</v>
      </c>
      <c r="K434" s="2">
        <v>15</v>
      </c>
      <c r="L434" s="2">
        <v>806.1</v>
      </c>
      <c r="M434" s="2">
        <v>4567.8999999999996</v>
      </c>
      <c r="N434" s="2" t="s">
        <v>56</v>
      </c>
      <c r="O434" s="2">
        <v>4</v>
      </c>
      <c r="P434" s="2" t="s">
        <v>24</v>
      </c>
    </row>
    <row r="435" spans="1:16" x14ac:dyDescent="0.25">
      <c r="A435" s="4">
        <v>45172</v>
      </c>
      <c r="B435" s="2" t="s">
        <v>848</v>
      </c>
      <c r="C435" s="2" t="s">
        <v>849</v>
      </c>
      <c r="D435" t="s">
        <v>33</v>
      </c>
      <c r="E435" s="2" t="s">
        <v>34</v>
      </c>
      <c r="F435" s="2" t="s">
        <v>35</v>
      </c>
      <c r="G435" s="2" t="s">
        <v>124</v>
      </c>
      <c r="H435" s="2" t="s">
        <v>125</v>
      </c>
      <c r="I435" s="2">
        <v>1</v>
      </c>
      <c r="J435" s="2">
        <v>37597</v>
      </c>
      <c r="K435" s="2">
        <v>0</v>
      </c>
      <c r="L435" s="2">
        <v>0</v>
      </c>
      <c r="M435" s="2">
        <v>37597</v>
      </c>
      <c r="N435" s="2" t="s">
        <v>23</v>
      </c>
      <c r="O435" s="2">
        <v>3</v>
      </c>
      <c r="P435" s="2" t="s">
        <v>24</v>
      </c>
    </row>
    <row r="436" spans="1:16" x14ac:dyDescent="0.25">
      <c r="A436" s="4">
        <v>45173</v>
      </c>
      <c r="B436" s="2" t="s">
        <v>850</v>
      </c>
      <c r="C436" s="2" t="s">
        <v>796</v>
      </c>
      <c r="D436" t="s">
        <v>84</v>
      </c>
      <c r="E436" s="2" t="s">
        <v>85</v>
      </c>
      <c r="F436" s="2" t="s">
        <v>61</v>
      </c>
      <c r="G436" s="2" t="s">
        <v>200</v>
      </c>
      <c r="H436" s="2" t="s">
        <v>201</v>
      </c>
      <c r="I436" s="2">
        <v>1</v>
      </c>
      <c r="J436" s="2">
        <v>277</v>
      </c>
      <c r="K436" s="2">
        <v>5</v>
      </c>
      <c r="L436" s="2">
        <v>13.85</v>
      </c>
      <c r="M436" s="2">
        <v>263.14999999999998</v>
      </c>
      <c r="N436" s="2" t="s">
        <v>38</v>
      </c>
      <c r="O436" s="2">
        <v>2</v>
      </c>
      <c r="P436" s="2" t="s">
        <v>24</v>
      </c>
    </row>
    <row r="437" spans="1:16" x14ac:dyDescent="0.25">
      <c r="A437" s="4">
        <v>45174</v>
      </c>
      <c r="B437" s="2" t="s">
        <v>851</v>
      </c>
      <c r="C437" s="2" t="s">
        <v>852</v>
      </c>
      <c r="D437" t="s">
        <v>66</v>
      </c>
      <c r="E437" s="2" t="s">
        <v>19</v>
      </c>
      <c r="F437" s="2" t="s">
        <v>28</v>
      </c>
      <c r="G437" s="2" t="s">
        <v>29</v>
      </c>
      <c r="H437" s="2" t="s">
        <v>30</v>
      </c>
      <c r="I437" s="2">
        <v>1</v>
      </c>
      <c r="J437" s="2">
        <v>1288</v>
      </c>
      <c r="K437" s="2">
        <v>0</v>
      </c>
      <c r="L437" s="2">
        <v>0</v>
      </c>
      <c r="M437" s="2">
        <v>1288</v>
      </c>
      <c r="N437" s="2" t="s">
        <v>56</v>
      </c>
      <c r="O437" s="2">
        <v>4</v>
      </c>
      <c r="P437" s="2" t="s">
        <v>24</v>
      </c>
    </row>
    <row r="438" spans="1:16" x14ac:dyDescent="0.25">
      <c r="A438" s="4">
        <v>45175</v>
      </c>
      <c r="B438" s="2" t="s">
        <v>853</v>
      </c>
      <c r="C438" s="2" t="s">
        <v>375</v>
      </c>
      <c r="D438" t="s">
        <v>33</v>
      </c>
      <c r="E438" s="2" t="s">
        <v>34</v>
      </c>
      <c r="F438" s="2" t="s">
        <v>71</v>
      </c>
      <c r="G438" s="2" t="s">
        <v>72</v>
      </c>
      <c r="H438" s="2" t="s">
        <v>159</v>
      </c>
      <c r="I438" s="2">
        <v>1</v>
      </c>
      <c r="J438" s="2">
        <v>51</v>
      </c>
      <c r="K438" s="2">
        <v>15</v>
      </c>
      <c r="L438" s="2">
        <v>7.65</v>
      </c>
      <c r="M438" s="2">
        <v>43.35</v>
      </c>
      <c r="N438" s="2" t="s">
        <v>56</v>
      </c>
      <c r="O438" s="2">
        <v>2</v>
      </c>
      <c r="P438" s="2" t="s">
        <v>24</v>
      </c>
    </row>
    <row r="439" spans="1:16" x14ac:dyDescent="0.25">
      <c r="A439" s="4">
        <v>45176</v>
      </c>
      <c r="B439" s="2" t="s">
        <v>854</v>
      </c>
      <c r="C439" s="2" t="s">
        <v>855</v>
      </c>
      <c r="D439" t="s">
        <v>59</v>
      </c>
      <c r="E439" s="2" t="s">
        <v>60</v>
      </c>
      <c r="F439" s="2" t="s">
        <v>71</v>
      </c>
      <c r="G439" s="2" t="s">
        <v>114</v>
      </c>
      <c r="H439" s="2" t="s">
        <v>115</v>
      </c>
      <c r="I439" s="2">
        <v>2</v>
      </c>
      <c r="J439" s="2">
        <v>193</v>
      </c>
      <c r="K439" s="2">
        <v>5</v>
      </c>
      <c r="L439" s="2">
        <v>19.3</v>
      </c>
      <c r="M439" s="2">
        <v>366.7</v>
      </c>
      <c r="N439" s="2" t="s">
        <v>23</v>
      </c>
      <c r="O439" s="2">
        <v>5</v>
      </c>
      <c r="P439" s="2" t="s">
        <v>24</v>
      </c>
    </row>
    <row r="440" spans="1:16" x14ac:dyDescent="0.25">
      <c r="A440" s="4">
        <v>45177</v>
      </c>
      <c r="B440" s="2" t="s">
        <v>856</v>
      </c>
      <c r="C440" s="2" t="s">
        <v>849</v>
      </c>
      <c r="D440" t="s">
        <v>41</v>
      </c>
      <c r="E440" s="2" t="s">
        <v>19</v>
      </c>
      <c r="F440" s="2" t="s">
        <v>71</v>
      </c>
      <c r="G440" s="2" t="s">
        <v>72</v>
      </c>
      <c r="H440" s="2" t="s">
        <v>73</v>
      </c>
      <c r="I440" s="2">
        <v>1</v>
      </c>
      <c r="J440" s="2">
        <v>235</v>
      </c>
      <c r="K440" s="2">
        <v>5</v>
      </c>
      <c r="L440" s="2">
        <v>11.75</v>
      </c>
      <c r="M440" s="2">
        <v>223.25</v>
      </c>
      <c r="N440" s="2" t="s">
        <v>44</v>
      </c>
      <c r="O440" s="2">
        <v>5</v>
      </c>
      <c r="P440" s="2" t="s">
        <v>24</v>
      </c>
    </row>
    <row r="441" spans="1:16" x14ac:dyDescent="0.25">
      <c r="A441" s="4">
        <v>45178</v>
      </c>
      <c r="B441" s="2" t="s">
        <v>857</v>
      </c>
      <c r="C441" s="2" t="s">
        <v>858</v>
      </c>
      <c r="D441" t="s">
        <v>27</v>
      </c>
      <c r="E441" s="2" t="s">
        <v>19</v>
      </c>
      <c r="F441" s="2" t="s">
        <v>35</v>
      </c>
      <c r="G441" s="2" t="s">
        <v>36</v>
      </c>
      <c r="H441" s="2" t="s">
        <v>648</v>
      </c>
      <c r="I441" s="2">
        <v>1</v>
      </c>
      <c r="J441" s="2">
        <v>26065</v>
      </c>
      <c r="K441" s="2">
        <v>5</v>
      </c>
      <c r="L441" s="2">
        <v>1303.25</v>
      </c>
      <c r="M441" s="2">
        <v>24761.75</v>
      </c>
      <c r="N441" s="2" t="s">
        <v>44</v>
      </c>
      <c r="O441" s="2">
        <v>6</v>
      </c>
      <c r="P441" s="2" t="s">
        <v>92</v>
      </c>
    </row>
    <row r="442" spans="1:16" x14ac:dyDescent="0.25">
      <c r="A442" s="4">
        <v>45179</v>
      </c>
      <c r="B442" s="2" t="s">
        <v>859</v>
      </c>
      <c r="C442" s="2" t="s">
        <v>138</v>
      </c>
      <c r="D442" t="s">
        <v>18</v>
      </c>
      <c r="E442" s="2" t="s">
        <v>19</v>
      </c>
      <c r="F442" s="2" t="s">
        <v>71</v>
      </c>
      <c r="G442" s="2" t="s">
        <v>76</v>
      </c>
      <c r="H442" s="2" t="s">
        <v>181</v>
      </c>
      <c r="I442" s="2">
        <v>1</v>
      </c>
      <c r="J442" s="2">
        <v>970</v>
      </c>
      <c r="K442" s="2">
        <v>20</v>
      </c>
      <c r="L442" s="2">
        <v>194</v>
      </c>
      <c r="M442" s="2">
        <v>776</v>
      </c>
      <c r="N442" s="2" t="s">
        <v>23</v>
      </c>
      <c r="O442" s="2">
        <v>2</v>
      </c>
      <c r="P442" s="2" t="s">
        <v>24</v>
      </c>
    </row>
    <row r="443" spans="1:16" x14ac:dyDescent="0.25">
      <c r="A443" s="4">
        <v>45180</v>
      </c>
      <c r="B443" s="2" t="s">
        <v>860</v>
      </c>
      <c r="C443" s="2" t="s">
        <v>379</v>
      </c>
      <c r="D443" t="s">
        <v>59</v>
      </c>
      <c r="E443" s="2" t="s">
        <v>60</v>
      </c>
      <c r="F443" s="2" t="s">
        <v>35</v>
      </c>
      <c r="G443" s="2" t="s">
        <v>80</v>
      </c>
      <c r="H443" s="2" t="s">
        <v>81</v>
      </c>
      <c r="I443" s="2">
        <v>1</v>
      </c>
      <c r="J443" s="2">
        <v>35664</v>
      </c>
      <c r="K443" s="2">
        <v>15</v>
      </c>
      <c r="L443" s="2">
        <v>5349.6</v>
      </c>
      <c r="M443" s="2">
        <v>30314.400000000001</v>
      </c>
      <c r="N443" s="2" t="s">
        <v>23</v>
      </c>
      <c r="O443" s="2">
        <v>1</v>
      </c>
      <c r="P443" s="2" t="s">
        <v>24</v>
      </c>
    </row>
    <row r="444" spans="1:16" x14ac:dyDescent="0.25">
      <c r="A444" s="4">
        <v>45181</v>
      </c>
      <c r="B444" s="2" t="s">
        <v>861</v>
      </c>
      <c r="C444" s="2" t="s">
        <v>562</v>
      </c>
      <c r="D444" t="s">
        <v>66</v>
      </c>
      <c r="E444" s="2" t="s">
        <v>19</v>
      </c>
      <c r="F444" s="2" t="s">
        <v>71</v>
      </c>
      <c r="G444" s="2" t="s">
        <v>114</v>
      </c>
      <c r="H444" s="2" t="s">
        <v>245</v>
      </c>
      <c r="I444" s="2">
        <v>2</v>
      </c>
      <c r="J444" s="2">
        <v>152</v>
      </c>
      <c r="K444" s="2">
        <v>15</v>
      </c>
      <c r="L444" s="2">
        <v>45.6</v>
      </c>
      <c r="M444" s="2">
        <v>258.39999999999998</v>
      </c>
      <c r="N444" s="2" t="s">
        <v>44</v>
      </c>
      <c r="O444" s="2">
        <v>3</v>
      </c>
      <c r="P444" s="2" t="s">
        <v>24</v>
      </c>
    </row>
    <row r="445" spans="1:16" x14ac:dyDescent="0.25">
      <c r="A445" s="4">
        <v>45182</v>
      </c>
      <c r="B445" s="2" t="s">
        <v>862</v>
      </c>
      <c r="C445" s="2" t="s">
        <v>471</v>
      </c>
      <c r="D445" t="s">
        <v>33</v>
      </c>
      <c r="E445" s="2" t="s">
        <v>34</v>
      </c>
      <c r="F445" s="2" t="s">
        <v>35</v>
      </c>
      <c r="G445" s="2" t="s">
        <v>36</v>
      </c>
      <c r="H445" s="2" t="s">
        <v>341</v>
      </c>
      <c r="I445" s="2">
        <v>2</v>
      </c>
      <c r="J445" s="2">
        <v>14955</v>
      </c>
      <c r="K445" s="2">
        <v>5</v>
      </c>
      <c r="L445" s="2">
        <v>1495.5</v>
      </c>
      <c r="M445" s="2">
        <v>28414.5</v>
      </c>
      <c r="N445" s="2" t="s">
        <v>44</v>
      </c>
      <c r="O445" s="2">
        <v>4</v>
      </c>
      <c r="P445" s="2" t="s">
        <v>24</v>
      </c>
    </row>
    <row r="446" spans="1:16" x14ac:dyDescent="0.25">
      <c r="A446" s="4">
        <v>45183</v>
      </c>
      <c r="B446" s="2" t="s">
        <v>863</v>
      </c>
      <c r="C446" s="2" t="s">
        <v>223</v>
      </c>
      <c r="D446" t="s">
        <v>27</v>
      </c>
      <c r="E446" s="2" t="s">
        <v>19</v>
      </c>
      <c r="F446" s="2" t="s">
        <v>28</v>
      </c>
      <c r="G446" s="2" t="s">
        <v>289</v>
      </c>
      <c r="H446" s="2" t="s">
        <v>439</v>
      </c>
      <c r="I446" s="2">
        <v>2</v>
      </c>
      <c r="J446" s="2">
        <v>1820</v>
      </c>
      <c r="K446" s="2">
        <v>0</v>
      </c>
      <c r="L446" s="2">
        <v>0</v>
      </c>
      <c r="M446" s="2">
        <v>3640</v>
      </c>
      <c r="N446" s="2" t="s">
        <v>44</v>
      </c>
      <c r="O446" s="2">
        <v>4</v>
      </c>
      <c r="P446" s="2" t="s">
        <v>24</v>
      </c>
    </row>
    <row r="447" spans="1:16" x14ac:dyDescent="0.25">
      <c r="A447" s="4">
        <v>45184</v>
      </c>
      <c r="B447" s="2" t="s">
        <v>864</v>
      </c>
      <c r="C447" s="2" t="s">
        <v>865</v>
      </c>
      <c r="D447" t="s">
        <v>53</v>
      </c>
      <c r="E447" s="2" t="s">
        <v>53</v>
      </c>
      <c r="F447" s="2" t="s">
        <v>71</v>
      </c>
      <c r="G447" s="2" t="s">
        <v>114</v>
      </c>
      <c r="H447" s="2" t="s">
        <v>245</v>
      </c>
      <c r="I447" s="2">
        <v>1</v>
      </c>
      <c r="J447" s="2">
        <v>1047</v>
      </c>
      <c r="K447" s="2">
        <v>0</v>
      </c>
      <c r="L447" s="2">
        <v>0</v>
      </c>
      <c r="M447" s="2">
        <v>1047</v>
      </c>
      <c r="N447" s="2" t="s">
        <v>23</v>
      </c>
      <c r="O447" s="2">
        <v>4</v>
      </c>
      <c r="P447" s="2" t="s">
        <v>24</v>
      </c>
    </row>
    <row r="448" spans="1:16" x14ac:dyDescent="0.25">
      <c r="A448" s="4">
        <v>45185</v>
      </c>
      <c r="B448" s="2" t="s">
        <v>866</v>
      </c>
      <c r="C448" s="2" t="s">
        <v>329</v>
      </c>
      <c r="D448" t="s">
        <v>59</v>
      </c>
      <c r="E448" s="2" t="s">
        <v>60</v>
      </c>
      <c r="F448" s="2" t="s">
        <v>61</v>
      </c>
      <c r="G448" s="2" t="s">
        <v>62</v>
      </c>
      <c r="H448" s="2" t="s">
        <v>156</v>
      </c>
      <c r="I448" s="2">
        <v>1</v>
      </c>
      <c r="J448" s="2">
        <v>993</v>
      </c>
      <c r="K448" s="2">
        <v>15</v>
      </c>
      <c r="L448" s="2">
        <v>148.94999999999999</v>
      </c>
      <c r="M448" s="2">
        <v>844.05</v>
      </c>
      <c r="N448" s="2" t="s">
        <v>56</v>
      </c>
      <c r="O448" s="2">
        <v>1</v>
      </c>
      <c r="P448" s="2" t="s">
        <v>24</v>
      </c>
    </row>
    <row r="449" spans="1:16" x14ac:dyDescent="0.25">
      <c r="A449" s="4">
        <v>45186</v>
      </c>
      <c r="B449" s="2" t="s">
        <v>867</v>
      </c>
      <c r="C449" s="2" t="s">
        <v>58</v>
      </c>
      <c r="D449" t="s">
        <v>41</v>
      </c>
      <c r="E449" s="2" t="s">
        <v>19</v>
      </c>
      <c r="F449" s="2" t="s">
        <v>35</v>
      </c>
      <c r="G449" s="2" t="s">
        <v>130</v>
      </c>
      <c r="H449" s="2" t="s">
        <v>167</v>
      </c>
      <c r="I449" s="2">
        <v>1</v>
      </c>
      <c r="J449" s="2">
        <v>37050</v>
      </c>
      <c r="K449" s="2">
        <v>20</v>
      </c>
      <c r="L449" s="2">
        <v>7410</v>
      </c>
      <c r="M449" s="2">
        <v>29640</v>
      </c>
      <c r="N449" s="2" t="s">
        <v>56</v>
      </c>
      <c r="O449" s="2">
        <v>4</v>
      </c>
      <c r="P449" s="2" t="s">
        <v>24</v>
      </c>
    </row>
    <row r="450" spans="1:16" x14ac:dyDescent="0.25">
      <c r="A450" s="4">
        <v>45187</v>
      </c>
      <c r="B450" s="2" t="s">
        <v>868</v>
      </c>
      <c r="C450" s="2" t="s">
        <v>869</v>
      </c>
      <c r="D450" t="s">
        <v>53</v>
      </c>
      <c r="E450" s="2" t="s">
        <v>53</v>
      </c>
      <c r="F450" s="2" t="s">
        <v>61</v>
      </c>
      <c r="G450" s="2" t="s">
        <v>62</v>
      </c>
      <c r="H450" s="2" t="s">
        <v>63</v>
      </c>
      <c r="I450" s="2">
        <v>1</v>
      </c>
      <c r="J450" s="2">
        <v>1878</v>
      </c>
      <c r="K450" s="2">
        <v>5</v>
      </c>
      <c r="L450" s="2">
        <v>93.9</v>
      </c>
      <c r="M450" s="2">
        <v>1784.1</v>
      </c>
      <c r="N450" s="2" t="s">
        <v>23</v>
      </c>
      <c r="O450" s="2">
        <v>4</v>
      </c>
      <c r="P450" s="2" t="s">
        <v>24</v>
      </c>
    </row>
    <row r="451" spans="1:16" x14ac:dyDescent="0.25">
      <c r="A451" s="4">
        <v>45188</v>
      </c>
      <c r="B451" s="2" t="s">
        <v>870</v>
      </c>
      <c r="C451" s="2" t="s">
        <v>871</v>
      </c>
      <c r="D451" t="s">
        <v>84</v>
      </c>
      <c r="E451" s="2" t="s">
        <v>85</v>
      </c>
      <c r="F451" s="2" t="s">
        <v>28</v>
      </c>
      <c r="G451" s="2" t="s">
        <v>188</v>
      </c>
      <c r="H451" s="2" t="s">
        <v>418</v>
      </c>
      <c r="I451" s="2">
        <v>1</v>
      </c>
      <c r="J451" s="2">
        <v>754</v>
      </c>
      <c r="K451" s="2">
        <v>15</v>
      </c>
      <c r="L451" s="2">
        <v>113.1</v>
      </c>
      <c r="M451" s="2">
        <v>640.9</v>
      </c>
      <c r="N451" s="2" t="s">
        <v>23</v>
      </c>
      <c r="O451" s="2">
        <v>3</v>
      </c>
      <c r="P451" s="2" t="s">
        <v>24</v>
      </c>
    </row>
    <row r="452" spans="1:16" x14ac:dyDescent="0.25">
      <c r="A452" s="4">
        <v>45189</v>
      </c>
      <c r="B452" s="2" t="s">
        <v>872</v>
      </c>
      <c r="C452" s="2" t="s">
        <v>873</v>
      </c>
      <c r="D452" t="s">
        <v>33</v>
      </c>
      <c r="E452" s="2" t="s">
        <v>34</v>
      </c>
      <c r="F452" s="2" t="s">
        <v>35</v>
      </c>
      <c r="G452" s="2" t="s">
        <v>80</v>
      </c>
      <c r="H452" s="2" t="s">
        <v>520</v>
      </c>
      <c r="I452" s="2">
        <v>1</v>
      </c>
      <c r="J452" s="2">
        <v>21862</v>
      </c>
      <c r="K452" s="2">
        <v>15</v>
      </c>
      <c r="L452" s="2">
        <v>3279.3</v>
      </c>
      <c r="M452" s="2">
        <v>18582.7</v>
      </c>
      <c r="N452" s="2" t="s">
        <v>23</v>
      </c>
      <c r="O452" s="2">
        <v>1</v>
      </c>
      <c r="P452" s="2" t="s">
        <v>24</v>
      </c>
    </row>
    <row r="453" spans="1:16" x14ac:dyDescent="0.25">
      <c r="A453" s="4">
        <v>45190</v>
      </c>
      <c r="B453" s="2" t="s">
        <v>874</v>
      </c>
      <c r="C453" s="2" t="s">
        <v>447</v>
      </c>
      <c r="D453" t="s">
        <v>53</v>
      </c>
      <c r="E453" s="2" t="s">
        <v>53</v>
      </c>
      <c r="F453" s="2" t="s">
        <v>61</v>
      </c>
      <c r="G453" s="2" t="s">
        <v>62</v>
      </c>
      <c r="H453" s="2" t="s">
        <v>515</v>
      </c>
      <c r="I453" s="2">
        <v>2</v>
      </c>
      <c r="J453" s="2">
        <v>1142</v>
      </c>
      <c r="K453" s="2">
        <v>15</v>
      </c>
      <c r="L453" s="2">
        <v>342.6</v>
      </c>
      <c r="M453" s="2">
        <v>1941.4</v>
      </c>
      <c r="N453" s="2" t="s">
        <v>23</v>
      </c>
      <c r="O453" s="2">
        <v>4</v>
      </c>
      <c r="P453" s="2" t="s">
        <v>24</v>
      </c>
    </row>
    <row r="454" spans="1:16" x14ac:dyDescent="0.25">
      <c r="A454" s="4">
        <v>45191</v>
      </c>
      <c r="B454" s="2" t="s">
        <v>875</v>
      </c>
      <c r="C454" s="2" t="s">
        <v>541</v>
      </c>
      <c r="D454" t="s">
        <v>59</v>
      </c>
      <c r="E454" s="2" t="s">
        <v>60</v>
      </c>
      <c r="F454" s="2" t="s">
        <v>20</v>
      </c>
      <c r="G454" s="2" t="s">
        <v>21</v>
      </c>
      <c r="H454" s="2" t="s">
        <v>121</v>
      </c>
      <c r="I454" s="2">
        <v>2</v>
      </c>
      <c r="J454" s="2">
        <v>1956</v>
      </c>
      <c r="K454" s="2">
        <v>0</v>
      </c>
      <c r="L454" s="2">
        <v>0</v>
      </c>
      <c r="M454" s="2">
        <v>3912</v>
      </c>
      <c r="N454" s="2" t="s">
        <v>56</v>
      </c>
      <c r="O454" s="2">
        <v>2</v>
      </c>
      <c r="P454" s="2" t="s">
        <v>24</v>
      </c>
    </row>
    <row r="455" spans="1:16" x14ac:dyDescent="0.25">
      <c r="A455" s="4">
        <v>45192</v>
      </c>
      <c r="B455" s="2" t="s">
        <v>876</v>
      </c>
      <c r="C455" s="2" t="s">
        <v>877</v>
      </c>
      <c r="D455" t="s">
        <v>66</v>
      </c>
      <c r="E455" s="2" t="s">
        <v>19</v>
      </c>
      <c r="F455" s="2" t="s">
        <v>61</v>
      </c>
      <c r="G455" s="2" t="s">
        <v>62</v>
      </c>
      <c r="H455" s="2" t="s">
        <v>63</v>
      </c>
      <c r="I455" s="2">
        <v>1</v>
      </c>
      <c r="J455" s="2">
        <v>1777</v>
      </c>
      <c r="K455" s="2">
        <v>20</v>
      </c>
      <c r="L455" s="2">
        <v>355.4</v>
      </c>
      <c r="M455" s="2">
        <v>1421.6</v>
      </c>
      <c r="N455" s="2" t="s">
        <v>44</v>
      </c>
      <c r="O455" s="2">
        <v>6</v>
      </c>
      <c r="P455" s="2" t="s">
        <v>24</v>
      </c>
    </row>
    <row r="456" spans="1:16" x14ac:dyDescent="0.25">
      <c r="A456" s="4">
        <v>45193</v>
      </c>
      <c r="B456" s="2" t="s">
        <v>878</v>
      </c>
      <c r="C456" s="2" t="s">
        <v>879</v>
      </c>
      <c r="D456" t="s">
        <v>59</v>
      </c>
      <c r="E456" s="2" t="s">
        <v>60</v>
      </c>
      <c r="F456" s="2" t="s">
        <v>71</v>
      </c>
      <c r="G456" s="2" t="s">
        <v>106</v>
      </c>
      <c r="H456" s="2" t="s">
        <v>107</v>
      </c>
      <c r="I456" s="2">
        <v>1</v>
      </c>
      <c r="J456" s="2">
        <v>926</v>
      </c>
      <c r="K456" s="2">
        <v>10</v>
      </c>
      <c r="L456" s="2">
        <v>92.6</v>
      </c>
      <c r="M456" s="2">
        <v>833.4</v>
      </c>
      <c r="N456" s="2" t="s">
        <v>23</v>
      </c>
      <c r="O456" s="2">
        <v>2</v>
      </c>
      <c r="P456" s="2" t="s">
        <v>24</v>
      </c>
    </row>
    <row r="457" spans="1:16" x14ac:dyDescent="0.25">
      <c r="A457" s="4">
        <v>45194</v>
      </c>
      <c r="B457" s="2" t="s">
        <v>880</v>
      </c>
      <c r="C457" s="2" t="s">
        <v>881</v>
      </c>
      <c r="D457" t="s">
        <v>41</v>
      </c>
      <c r="E457" s="2" t="s">
        <v>19</v>
      </c>
      <c r="F457" s="2" t="s">
        <v>28</v>
      </c>
      <c r="G457" s="2" t="s">
        <v>29</v>
      </c>
      <c r="H457" s="2" t="s">
        <v>664</v>
      </c>
      <c r="I457" s="2">
        <v>1</v>
      </c>
      <c r="J457" s="2">
        <v>728</v>
      </c>
      <c r="K457" s="2">
        <v>0</v>
      </c>
      <c r="L457" s="2">
        <v>0</v>
      </c>
      <c r="M457" s="2">
        <v>728</v>
      </c>
      <c r="N457" s="2" t="s">
        <v>50</v>
      </c>
      <c r="O457" s="2">
        <v>2</v>
      </c>
      <c r="P457" s="2" t="s">
        <v>24</v>
      </c>
    </row>
    <row r="458" spans="1:16" x14ac:dyDescent="0.25">
      <c r="A458" s="4">
        <v>45195</v>
      </c>
      <c r="B458" s="2" t="s">
        <v>882</v>
      </c>
      <c r="C458" s="2" t="s">
        <v>447</v>
      </c>
      <c r="D458" t="s">
        <v>66</v>
      </c>
      <c r="E458" s="2" t="s">
        <v>19</v>
      </c>
      <c r="F458" s="2" t="s">
        <v>61</v>
      </c>
      <c r="G458" s="2" t="s">
        <v>62</v>
      </c>
      <c r="H458" s="2" t="s">
        <v>534</v>
      </c>
      <c r="I458" s="2">
        <v>1</v>
      </c>
      <c r="J458" s="2">
        <v>421</v>
      </c>
      <c r="K458" s="2">
        <v>0</v>
      </c>
      <c r="L458" s="2">
        <v>0</v>
      </c>
      <c r="M458" s="2">
        <v>421</v>
      </c>
      <c r="N458" s="2" t="s">
        <v>56</v>
      </c>
      <c r="O458" s="2">
        <v>1</v>
      </c>
      <c r="P458" s="2" t="s">
        <v>24</v>
      </c>
    </row>
    <row r="459" spans="1:16" x14ac:dyDescent="0.25">
      <c r="A459" s="4">
        <v>45196</v>
      </c>
      <c r="B459" s="2" t="s">
        <v>883</v>
      </c>
      <c r="C459" s="2" t="s">
        <v>884</v>
      </c>
      <c r="D459" t="s">
        <v>174</v>
      </c>
      <c r="E459" s="2" t="s">
        <v>60</v>
      </c>
      <c r="F459" s="2" t="s">
        <v>61</v>
      </c>
      <c r="G459" s="2" t="s">
        <v>250</v>
      </c>
      <c r="H459" s="2" t="s">
        <v>504</v>
      </c>
      <c r="I459" s="2">
        <v>1</v>
      </c>
      <c r="J459" s="2">
        <v>433</v>
      </c>
      <c r="K459" s="2">
        <v>5</v>
      </c>
      <c r="L459" s="2">
        <v>21.65</v>
      </c>
      <c r="M459" s="2">
        <v>411.35</v>
      </c>
      <c r="N459" s="2" t="s">
        <v>44</v>
      </c>
      <c r="O459" s="2">
        <v>3</v>
      </c>
      <c r="P459" s="2" t="s">
        <v>24</v>
      </c>
    </row>
    <row r="460" spans="1:16" x14ac:dyDescent="0.25">
      <c r="A460" s="4">
        <v>45197</v>
      </c>
      <c r="B460" s="2" t="s">
        <v>885</v>
      </c>
      <c r="C460" s="2" t="s">
        <v>886</v>
      </c>
      <c r="D460" t="s">
        <v>33</v>
      </c>
      <c r="E460" s="2" t="s">
        <v>34</v>
      </c>
      <c r="F460" s="2" t="s">
        <v>61</v>
      </c>
      <c r="G460" s="2" t="s">
        <v>200</v>
      </c>
      <c r="H460" s="2" t="s">
        <v>473</v>
      </c>
      <c r="I460" s="2">
        <v>1</v>
      </c>
      <c r="J460" s="2">
        <v>1404</v>
      </c>
      <c r="K460" s="2">
        <v>5</v>
      </c>
      <c r="L460" s="2">
        <v>70.2</v>
      </c>
      <c r="M460" s="2">
        <v>1333.8</v>
      </c>
      <c r="N460" s="2" t="s">
        <v>23</v>
      </c>
      <c r="O460" s="2">
        <v>3</v>
      </c>
      <c r="P460" s="2" t="s">
        <v>24</v>
      </c>
    </row>
    <row r="461" spans="1:16" x14ac:dyDescent="0.25">
      <c r="A461" s="4">
        <v>45198</v>
      </c>
      <c r="B461" s="2" t="s">
        <v>887</v>
      </c>
      <c r="C461" s="2" t="s">
        <v>614</v>
      </c>
      <c r="D461" t="s">
        <v>18</v>
      </c>
      <c r="E461" s="2" t="s">
        <v>19</v>
      </c>
      <c r="F461" s="2" t="s">
        <v>71</v>
      </c>
      <c r="G461" s="2" t="s">
        <v>72</v>
      </c>
      <c r="H461" s="2" t="s">
        <v>420</v>
      </c>
      <c r="I461" s="2">
        <v>1</v>
      </c>
      <c r="J461" s="2">
        <v>798</v>
      </c>
      <c r="K461" s="2">
        <v>5</v>
      </c>
      <c r="L461" s="2">
        <v>39.9</v>
      </c>
      <c r="M461" s="2">
        <v>758.1</v>
      </c>
      <c r="N461" s="2" t="s">
        <v>56</v>
      </c>
      <c r="O461" s="2">
        <v>3</v>
      </c>
      <c r="P461" s="2" t="s">
        <v>24</v>
      </c>
    </row>
    <row r="462" spans="1:16" x14ac:dyDescent="0.25">
      <c r="A462" s="4">
        <v>45199</v>
      </c>
      <c r="B462" s="2" t="s">
        <v>888</v>
      </c>
      <c r="C462" s="2" t="s">
        <v>445</v>
      </c>
      <c r="D462" t="s">
        <v>174</v>
      </c>
      <c r="E462" s="2" t="s">
        <v>60</v>
      </c>
      <c r="F462" s="2" t="s">
        <v>20</v>
      </c>
      <c r="G462" s="2" t="s">
        <v>21</v>
      </c>
      <c r="H462" s="2" t="s">
        <v>435</v>
      </c>
      <c r="I462" s="2">
        <v>1</v>
      </c>
      <c r="J462" s="2">
        <v>6469</v>
      </c>
      <c r="K462" s="2">
        <v>5</v>
      </c>
      <c r="L462" s="2">
        <v>323.45</v>
      </c>
      <c r="M462" s="2">
        <v>6145.55</v>
      </c>
      <c r="N462" s="2" t="s">
        <v>44</v>
      </c>
      <c r="O462" s="2">
        <v>4</v>
      </c>
      <c r="P462" s="2" t="s">
        <v>24</v>
      </c>
    </row>
    <row r="463" spans="1:16" x14ac:dyDescent="0.25">
      <c r="A463" s="4">
        <v>45200</v>
      </c>
      <c r="B463" s="2" t="s">
        <v>889</v>
      </c>
      <c r="C463" s="2" t="s">
        <v>471</v>
      </c>
      <c r="D463" t="s">
        <v>47</v>
      </c>
      <c r="E463" s="2" t="s">
        <v>48</v>
      </c>
      <c r="F463" s="2" t="s">
        <v>20</v>
      </c>
      <c r="G463" s="2" t="s">
        <v>170</v>
      </c>
      <c r="H463" s="2" t="s">
        <v>469</v>
      </c>
      <c r="I463" s="2">
        <v>1</v>
      </c>
      <c r="J463" s="2">
        <v>6114</v>
      </c>
      <c r="K463" s="2">
        <v>15</v>
      </c>
      <c r="L463" s="2">
        <v>917.1</v>
      </c>
      <c r="M463" s="2">
        <v>5196.8999999999996</v>
      </c>
      <c r="N463" s="2" t="s">
        <v>44</v>
      </c>
      <c r="O463" s="2">
        <v>3</v>
      </c>
      <c r="P463" s="2" t="s">
        <v>24</v>
      </c>
    </row>
    <row r="464" spans="1:16" x14ac:dyDescent="0.25">
      <c r="A464" s="4">
        <v>45201</v>
      </c>
      <c r="B464" s="2" t="s">
        <v>890</v>
      </c>
      <c r="C464" s="2" t="s">
        <v>533</v>
      </c>
      <c r="D464" t="s">
        <v>53</v>
      </c>
      <c r="E464" s="2" t="s">
        <v>53</v>
      </c>
      <c r="F464" s="2" t="s">
        <v>61</v>
      </c>
      <c r="G464" s="2" t="s">
        <v>262</v>
      </c>
      <c r="H464" s="2" t="s">
        <v>482</v>
      </c>
      <c r="I464" s="2">
        <v>1</v>
      </c>
      <c r="J464" s="2">
        <v>373</v>
      </c>
      <c r="K464" s="2">
        <v>0</v>
      </c>
      <c r="L464" s="2">
        <v>0</v>
      </c>
      <c r="M464" s="2">
        <v>373</v>
      </c>
      <c r="N464" s="2" t="s">
        <v>56</v>
      </c>
      <c r="O464" s="2">
        <v>2</v>
      </c>
      <c r="P464" s="2" t="s">
        <v>24</v>
      </c>
    </row>
    <row r="465" spans="1:16" x14ac:dyDescent="0.25">
      <c r="A465" s="4">
        <v>45202</v>
      </c>
      <c r="B465" s="2" t="s">
        <v>891</v>
      </c>
      <c r="C465" s="2" t="s">
        <v>667</v>
      </c>
      <c r="D465" t="s">
        <v>18</v>
      </c>
      <c r="E465" s="2" t="s">
        <v>19</v>
      </c>
      <c r="F465" s="2" t="s">
        <v>20</v>
      </c>
      <c r="G465" s="2" t="s">
        <v>170</v>
      </c>
      <c r="H465" s="2" t="s">
        <v>563</v>
      </c>
      <c r="I465" s="2">
        <v>3</v>
      </c>
      <c r="J465" s="2">
        <v>3741</v>
      </c>
      <c r="K465" s="2">
        <v>0</v>
      </c>
      <c r="L465" s="2">
        <v>0</v>
      </c>
      <c r="M465" s="2">
        <v>11223</v>
      </c>
      <c r="N465" s="2" t="s">
        <v>23</v>
      </c>
      <c r="O465" s="2">
        <v>1</v>
      </c>
      <c r="P465" s="2" t="s">
        <v>24</v>
      </c>
    </row>
    <row r="466" spans="1:16" x14ac:dyDescent="0.25">
      <c r="A466" s="4">
        <v>45203</v>
      </c>
      <c r="B466" s="2" t="s">
        <v>892</v>
      </c>
      <c r="C466" s="2" t="s">
        <v>667</v>
      </c>
      <c r="D466" t="s">
        <v>47</v>
      </c>
      <c r="E466" s="2" t="s">
        <v>48</v>
      </c>
      <c r="F466" s="2" t="s">
        <v>61</v>
      </c>
      <c r="G466" s="2" t="s">
        <v>250</v>
      </c>
      <c r="H466" s="2" t="s">
        <v>256</v>
      </c>
      <c r="I466" s="2">
        <v>1</v>
      </c>
      <c r="J466" s="2">
        <v>1513</v>
      </c>
      <c r="K466" s="2">
        <v>5</v>
      </c>
      <c r="L466" s="2">
        <v>75.650000000000006</v>
      </c>
      <c r="M466" s="2">
        <v>1437.35</v>
      </c>
      <c r="N466" s="2" t="s">
        <v>50</v>
      </c>
      <c r="O466" s="2">
        <v>2</v>
      </c>
      <c r="P466" s="2" t="s">
        <v>24</v>
      </c>
    </row>
    <row r="467" spans="1:16" x14ac:dyDescent="0.25">
      <c r="A467" s="4">
        <v>45204</v>
      </c>
      <c r="B467" s="2" t="s">
        <v>893</v>
      </c>
      <c r="C467" s="2" t="s">
        <v>335</v>
      </c>
      <c r="D467" t="s">
        <v>84</v>
      </c>
      <c r="E467" s="2" t="s">
        <v>85</v>
      </c>
      <c r="F467" s="2" t="s">
        <v>28</v>
      </c>
      <c r="G467" s="2" t="s">
        <v>289</v>
      </c>
      <c r="H467" s="2" t="s">
        <v>439</v>
      </c>
      <c r="I467" s="2">
        <v>1</v>
      </c>
      <c r="J467" s="2">
        <v>787</v>
      </c>
      <c r="K467" s="2">
        <v>5</v>
      </c>
      <c r="L467" s="2">
        <v>39.35</v>
      </c>
      <c r="M467" s="2">
        <v>747.65</v>
      </c>
      <c r="N467" s="2" t="s">
        <v>23</v>
      </c>
      <c r="O467" s="2">
        <v>4</v>
      </c>
      <c r="P467" s="2" t="s">
        <v>24</v>
      </c>
    </row>
    <row r="468" spans="1:16" x14ac:dyDescent="0.25">
      <c r="A468" s="4">
        <v>45205</v>
      </c>
      <c r="B468" s="2" t="s">
        <v>894</v>
      </c>
      <c r="C468" s="2" t="s">
        <v>348</v>
      </c>
      <c r="D468" t="s">
        <v>84</v>
      </c>
      <c r="E468" s="2" t="s">
        <v>85</v>
      </c>
      <c r="F468" s="2" t="s">
        <v>28</v>
      </c>
      <c r="G468" s="2" t="s">
        <v>90</v>
      </c>
      <c r="H468" s="2" t="s">
        <v>333</v>
      </c>
      <c r="I468" s="2">
        <v>1</v>
      </c>
      <c r="J468" s="2">
        <v>737</v>
      </c>
      <c r="K468" s="2">
        <v>5</v>
      </c>
      <c r="L468" s="2">
        <v>36.85</v>
      </c>
      <c r="M468" s="2">
        <v>700.15</v>
      </c>
      <c r="N468" s="2" t="s">
        <v>50</v>
      </c>
      <c r="O468" s="2">
        <v>2</v>
      </c>
      <c r="P468" s="2" t="s">
        <v>24</v>
      </c>
    </row>
    <row r="469" spans="1:16" x14ac:dyDescent="0.25">
      <c r="A469" s="4">
        <v>45206</v>
      </c>
      <c r="B469" s="2" t="s">
        <v>895</v>
      </c>
      <c r="C469" s="2" t="s">
        <v>578</v>
      </c>
      <c r="D469" t="s">
        <v>47</v>
      </c>
      <c r="E469" s="2" t="s">
        <v>48</v>
      </c>
      <c r="F469" s="2" t="s">
        <v>20</v>
      </c>
      <c r="G469" s="2" t="s">
        <v>21</v>
      </c>
      <c r="H469" s="2" t="s">
        <v>49</v>
      </c>
      <c r="I469" s="2">
        <v>1</v>
      </c>
      <c r="J469" s="2">
        <v>2770</v>
      </c>
      <c r="K469" s="2">
        <v>5</v>
      </c>
      <c r="L469" s="2">
        <v>138.5</v>
      </c>
      <c r="M469" s="2">
        <v>2631.5</v>
      </c>
      <c r="N469" s="2" t="s">
        <v>50</v>
      </c>
      <c r="O469" s="2">
        <v>1</v>
      </c>
      <c r="P469" s="2" t="s">
        <v>24</v>
      </c>
    </row>
    <row r="470" spans="1:16" x14ac:dyDescent="0.25">
      <c r="A470" s="4">
        <v>45207</v>
      </c>
      <c r="B470" s="2" t="s">
        <v>896</v>
      </c>
      <c r="C470" s="2" t="s">
        <v>395</v>
      </c>
      <c r="D470" t="s">
        <v>174</v>
      </c>
      <c r="E470" s="2" t="s">
        <v>60</v>
      </c>
      <c r="F470" s="2" t="s">
        <v>35</v>
      </c>
      <c r="G470" s="2" t="s">
        <v>124</v>
      </c>
      <c r="H470" s="2" t="s">
        <v>350</v>
      </c>
      <c r="I470" s="2">
        <v>1</v>
      </c>
      <c r="J470" s="2">
        <v>19869</v>
      </c>
      <c r="K470" s="2">
        <v>10</v>
      </c>
      <c r="L470" s="2">
        <v>1986.9</v>
      </c>
      <c r="M470" s="2">
        <v>17882.099999999999</v>
      </c>
      <c r="N470" s="2" t="s">
        <v>44</v>
      </c>
      <c r="O470" s="2">
        <v>4</v>
      </c>
      <c r="P470" s="2" t="s">
        <v>24</v>
      </c>
    </row>
    <row r="471" spans="1:16" x14ac:dyDescent="0.25">
      <c r="A471" s="4">
        <v>45208</v>
      </c>
      <c r="B471" s="2" t="s">
        <v>897</v>
      </c>
      <c r="C471" s="2" t="s">
        <v>17</v>
      </c>
      <c r="D471" t="s">
        <v>66</v>
      </c>
      <c r="E471" s="2" t="s">
        <v>19</v>
      </c>
      <c r="F471" s="2" t="s">
        <v>35</v>
      </c>
      <c r="G471" s="2" t="s">
        <v>80</v>
      </c>
      <c r="H471" s="2" t="s">
        <v>81</v>
      </c>
      <c r="I471" s="2">
        <v>1</v>
      </c>
      <c r="J471" s="2">
        <v>2125</v>
      </c>
      <c r="K471" s="2">
        <v>5</v>
      </c>
      <c r="L471" s="2">
        <v>106.25</v>
      </c>
      <c r="M471" s="2">
        <v>2018.75</v>
      </c>
      <c r="N471" s="2" t="s">
        <v>23</v>
      </c>
      <c r="O471" s="2">
        <v>1</v>
      </c>
      <c r="P471" s="2" t="s">
        <v>24</v>
      </c>
    </row>
    <row r="472" spans="1:16" x14ac:dyDescent="0.25">
      <c r="A472" s="4">
        <v>45209</v>
      </c>
      <c r="B472" s="2" t="s">
        <v>898</v>
      </c>
      <c r="C472" s="2" t="s">
        <v>681</v>
      </c>
      <c r="D472" t="s">
        <v>41</v>
      </c>
      <c r="E472" s="2" t="s">
        <v>19</v>
      </c>
      <c r="F472" s="2" t="s">
        <v>71</v>
      </c>
      <c r="G472" s="2" t="s">
        <v>76</v>
      </c>
      <c r="H472" s="2" t="s">
        <v>95</v>
      </c>
      <c r="I472" s="2">
        <v>1</v>
      </c>
      <c r="J472" s="2">
        <v>1436</v>
      </c>
      <c r="K472" s="2">
        <v>10</v>
      </c>
      <c r="L472" s="2">
        <v>143.6</v>
      </c>
      <c r="M472" s="2">
        <v>1292.4000000000001</v>
      </c>
      <c r="N472" s="2" t="s">
        <v>23</v>
      </c>
      <c r="O472" s="2">
        <v>3</v>
      </c>
      <c r="P472" s="2" t="s">
        <v>24</v>
      </c>
    </row>
    <row r="473" spans="1:16" x14ac:dyDescent="0.25">
      <c r="A473" s="4">
        <v>45210</v>
      </c>
      <c r="B473" s="2" t="s">
        <v>899</v>
      </c>
      <c r="C473" s="2" t="s">
        <v>225</v>
      </c>
      <c r="D473" t="s">
        <v>47</v>
      </c>
      <c r="E473" s="2" t="s">
        <v>48</v>
      </c>
      <c r="F473" s="2" t="s">
        <v>71</v>
      </c>
      <c r="G473" s="2" t="s">
        <v>86</v>
      </c>
      <c r="H473" s="2" t="s">
        <v>616</v>
      </c>
      <c r="I473" s="2">
        <v>3</v>
      </c>
      <c r="J473" s="2">
        <v>925</v>
      </c>
      <c r="K473" s="2">
        <v>5</v>
      </c>
      <c r="L473" s="2">
        <v>138.75</v>
      </c>
      <c r="M473" s="2">
        <v>2636.25</v>
      </c>
      <c r="N473" s="2" t="s">
        <v>50</v>
      </c>
      <c r="O473" s="2">
        <v>2</v>
      </c>
      <c r="P473" s="2" t="s">
        <v>24</v>
      </c>
    </row>
    <row r="474" spans="1:16" x14ac:dyDescent="0.25">
      <c r="A474" s="4">
        <v>45211</v>
      </c>
      <c r="B474" s="2" t="s">
        <v>900</v>
      </c>
      <c r="C474" s="2" t="s">
        <v>79</v>
      </c>
      <c r="D474" t="s">
        <v>66</v>
      </c>
      <c r="E474" s="2" t="s">
        <v>19</v>
      </c>
      <c r="F474" s="2" t="s">
        <v>71</v>
      </c>
      <c r="G474" s="2" t="s">
        <v>114</v>
      </c>
      <c r="H474" s="2" t="s">
        <v>245</v>
      </c>
      <c r="I474" s="2">
        <v>2</v>
      </c>
      <c r="J474" s="2">
        <v>641</v>
      </c>
      <c r="K474" s="2">
        <v>0</v>
      </c>
      <c r="L474" s="2">
        <v>0</v>
      </c>
      <c r="M474" s="2">
        <v>1282</v>
      </c>
      <c r="N474" s="2" t="s">
        <v>44</v>
      </c>
      <c r="O474" s="2">
        <v>8</v>
      </c>
      <c r="P474" s="2" t="s">
        <v>24</v>
      </c>
    </row>
    <row r="475" spans="1:16" x14ac:dyDescent="0.25">
      <c r="A475" s="4">
        <v>45212</v>
      </c>
      <c r="B475" s="2" t="s">
        <v>901</v>
      </c>
      <c r="C475" s="2" t="s">
        <v>434</v>
      </c>
      <c r="D475" t="s">
        <v>41</v>
      </c>
      <c r="E475" s="2" t="s">
        <v>19</v>
      </c>
      <c r="F475" s="2" t="s">
        <v>71</v>
      </c>
      <c r="G475" s="2" t="s">
        <v>114</v>
      </c>
      <c r="H475" s="2" t="s">
        <v>245</v>
      </c>
      <c r="I475" s="2">
        <v>1</v>
      </c>
      <c r="J475" s="2">
        <v>1259</v>
      </c>
      <c r="K475" s="2">
        <v>10</v>
      </c>
      <c r="L475" s="2">
        <v>125.9</v>
      </c>
      <c r="M475" s="2">
        <v>1133.0999999999999</v>
      </c>
      <c r="N475" s="2" t="s">
        <v>23</v>
      </c>
      <c r="O475" s="2">
        <v>2</v>
      </c>
      <c r="P475" s="2" t="s">
        <v>24</v>
      </c>
    </row>
    <row r="476" spans="1:16" x14ac:dyDescent="0.25">
      <c r="A476" s="4">
        <v>45213</v>
      </c>
      <c r="B476" s="2" t="s">
        <v>902</v>
      </c>
      <c r="C476" s="2" t="s">
        <v>780</v>
      </c>
      <c r="D476" t="s">
        <v>66</v>
      </c>
      <c r="E476" s="2" t="s">
        <v>19</v>
      </c>
      <c r="F476" s="2" t="s">
        <v>71</v>
      </c>
      <c r="G476" s="2" t="s">
        <v>76</v>
      </c>
      <c r="H476" s="2" t="s">
        <v>77</v>
      </c>
      <c r="I476" s="2">
        <v>1</v>
      </c>
      <c r="J476" s="2">
        <v>136</v>
      </c>
      <c r="K476" s="2">
        <v>15</v>
      </c>
      <c r="L476" s="2">
        <v>20.399999999999999</v>
      </c>
      <c r="M476" s="2">
        <v>115.6</v>
      </c>
      <c r="N476" s="2" t="s">
        <v>23</v>
      </c>
      <c r="O476" s="2">
        <v>3</v>
      </c>
      <c r="P476" s="2" t="s">
        <v>24</v>
      </c>
    </row>
    <row r="477" spans="1:16" x14ac:dyDescent="0.25">
      <c r="A477" s="4">
        <v>45214</v>
      </c>
      <c r="B477" s="2" t="s">
        <v>903</v>
      </c>
      <c r="C477" s="2" t="s">
        <v>443</v>
      </c>
      <c r="D477" t="s">
        <v>66</v>
      </c>
      <c r="E477" s="2" t="s">
        <v>19</v>
      </c>
      <c r="F477" s="2" t="s">
        <v>28</v>
      </c>
      <c r="G477" s="2" t="s">
        <v>110</v>
      </c>
      <c r="H477" s="2" t="s">
        <v>409</v>
      </c>
      <c r="I477" s="2">
        <v>1</v>
      </c>
      <c r="J477" s="2">
        <v>4271</v>
      </c>
      <c r="K477" s="2">
        <v>15</v>
      </c>
      <c r="L477" s="2">
        <v>640.65</v>
      </c>
      <c r="M477" s="2">
        <v>3630.35</v>
      </c>
      <c r="N477" s="2" t="s">
        <v>50</v>
      </c>
      <c r="O477" s="2">
        <v>2</v>
      </c>
      <c r="P477" s="2" t="s">
        <v>24</v>
      </c>
    </row>
    <row r="478" spans="1:16" x14ac:dyDescent="0.25">
      <c r="A478" s="4">
        <v>45215</v>
      </c>
      <c r="B478" s="2" t="s">
        <v>904</v>
      </c>
      <c r="C478" s="2" t="s">
        <v>120</v>
      </c>
      <c r="D478" t="s">
        <v>18</v>
      </c>
      <c r="E478" s="2" t="s">
        <v>19</v>
      </c>
      <c r="F478" s="2" t="s">
        <v>35</v>
      </c>
      <c r="G478" s="2" t="s">
        <v>130</v>
      </c>
      <c r="H478" s="2" t="s">
        <v>175</v>
      </c>
      <c r="I478" s="2">
        <v>3</v>
      </c>
      <c r="J478" s="2">
        <v>4872</v>
      </c>
      <c r="K478" s="2">
        <v>5</v>
      </c>
      <c r="L478" s="2">
        <v>730.8</v>
      </c>
      <c r="M478" s="2">
        <v>13885.2</v>
      </c>
      <c r="N478" s="2" t="s">
        <v>23</v>
      </c>
      <c r="O478" s="2">
        <v>3</v>
      </c>
      <c r="P478" s="2" t="s">
        <v>24</v>
      </c>
    </row>
    <row r="479" spans="1:16" x14ac:dyDescent="0.25">
      <c r="A479" s="4">
        <v>45216</v>
      </c>
      <c r="B479" s="2" t="s">
        <v>905</v>
      </c>
      <c r="C479" s="2" t="s">
        <v>185</v>
      </c>
      <c r="D479" t="s">
        <v>47</v>
      </c>
      <c r="E479" s="2" t="s">
        <v>48</v>
      </c>
      <c r="F479" s="2" t="s">
        <v>71</v>
      </c>
      <c r="G479" s="2" t="s">
        <v>86</v>
      </c>
      <c r="H479" s="2" t="s">
        <v>392</v>
      </c>
      <c r="I479" s="2">
        <v>2</v>
      </c>
      <c r="J479" s="2">
        <v>994</v>
      </c>
      <c r="K479" s="2">
        <v>15</v>
      </c>
      <c r="L479" s="2">
        <v>298.2</v>
      </c>
      <c r="M479" s="2">
        <v>1689.8</v>
      </c>
      <c r="N479" s="2" t="s">
        <v>23</v>
      </c>
      <c r="O479" s="2">
        <v>2</v>
      </c>
      <c r="P479" s="2" t="s">
        <v>24</v>
      </c>
    </row>
    <row r="480" spans="1:16" x14ac:dyDescent="0.25">
      <c r="A480" s="4">
        <v>45217</v>
      </c>
      <c r="B480" s="2" t="s">
        <v>906</v>
      </c>
      <c r="C480" s="2" t="s">
        <v>352</v>
      </c>
      <c r="D480" t="s">
        <v>18</v>
      </c>
      <c r="E480" s="2" t="s">
        <v>19</v>
      </c>
      <c r="F480" s="2" t="s">
        <v>20</v>
      </c>
      <c r="G480" s="2" t="s">
        <v>139</v>
      </c>
      <c r="H480" s="2" t="s">
        <v>646</v>
      </c>
      <c r="I480" s="2">
        <v>1</v>
      </c>
      <c r="J480" s="2">
        <v>1887</v>
      </c>
      <c r="K480" s="2">
        <v>0</v>
      </c>
      <c r="L480" s="2">
        <v>0</v>
      </c>
      <c r="M480" s="2">
        <v>1887</v>
      </c>
      <c r="N480" s="2" t="s">
        <v>23</v>
      </c>
      <c r="O480" s="2">
        <v>3</v>
      </c>
      <c r="P480" s="2" t="s">
        <v>24</v>
      </c>
    </row>
    <row r="481" spans="1:16" x14ac:dyDescent="0.25">
      <c r="A481" s="4">
        <v>45218</v>
      </c>
      <c r="B481" s="2" t="s">
        <v>907</v>
      </c>
      <c r="C481" s="2" t="s">
        <v>319</v>
      </c>
      <c r="D481" t="s">
        <v>47</v>
      </c>
      <c r="E481" s="2" t="s">
        <v>48</v>
      </c>
      <c r="F481" s="2" t="s">
        <v>20</v>
      </c>
      <c r="G481" s="2" t="s">
        <v>139</v>
      </c>
      <c r="H481" s="2" t="s">
        <v>727</v>
      </c>
      <c r="I481" s="2">
        <v>1</v>
      </c>
      <c r="J481" s="2">
        <v>7044</v>
      </c>
      <c r="K481" s="2">
        <v>0</v>
      </c>
      <c r="L481" s="2">
        <v>0</v>
      </c>
      <c r="M481" s="2">
        <v>7044</v>
      </c>
      <c r="N481" s="2" t="s">
        <v>23</v>
      </c>
      <c r="O481" s="2">
        <v>3</v>
      </c>
      <c r="P481" s="2" t="s">
        <v>24</v>
      </c>
    </row>
    <row r="482" spans="1:16" x14ac:dyDescent="0.25">
      <c r="A482" s="4">
        <v>45219</v>
      </c>
      <c r="B482" s="2" t="s">
        <v>908</v>
      </c>
      <c r="C482" s="2" t="s">
        <v>235</v>
      </c>
      <c r="D482" t="s">
        <v>174</v>
      </c>
      <c r="E482" s="2" t="s">
        <v>60</v>
      </c>
      <c r="F482" s="2" t="s">
        <v>35</v>
      </c>
      <c r="G482" s="2" t="s">
        <v>80</v>
      </c>
      <c r="H482" s="2" t="s">
        <v>214</v>
      </c>
      <c r="I482" s="2">
        <v>1</v>
      </c>
      <c r="J482" s="2">
        <v>12848</v>
      </c>
      <c r="K482" s="2">
        <v>15</v>
      </c>
      <c r="L482" s="2">
        <v>1927.2</v>
      </c>
      <c r="M482" s="2">
        <v>10920.8</v>
      </c>
      <c r="N482" s="2" t="s">
        <v>44</v>
      </c>
      <c r="O482" s="2">
        <v>4</v>
      </c>
      <c r="P482" s="2" t="s">
        <v>24</v>
      </c>
    </row>
    <row r="483" spans="1:16" x14ac:dyDescent="0.25">
      <c r="A483" s="4">
        <v>45220</v>
      </c>
      <c r="B483" s="2" t="s">
        <v>909</v>
      </c>
      <c r="C483" s="2" t="s">
        <v>312</v>
      </c>
      <c r="D483" t="s">
        <v>33</v>
      </c>
      <c r="E483" s="2" t="s">
        <v>34</v>
      </c>
      <c r="F483" s="2" t="s">
        <v>35</v>
      </c>
      <c r="G483" s="2" t="s">
        <v>80</v>
      </c>
      <c r="H483" s="2" t="s">
        <v>274</v>
      </c>
      <c r="I483" s="2">
        <v>1</v>
      </c>
      <c r="J483" s="2">
        <v>20919</v>
      </c>
      <c r="K483" s="2">
        <v>15</v>
      </c>
      <c r="L483" s="2">
        <v>3137.85</v>
      </c>
      <c r="M483" s="2">
        <v>17781.150000000001</v>
      </c>
      <c r="N483" s="2" t="s">
        <v>56</v>
      </c>
      <c r="O483" s="2">
        <v>3</v>
      </c>
      <c r="P483" s="2" t="s">
        <v>24</v>
      </c>
    </row>
    <row r="484" spans="1:16" x14ac:dyDescent="0.25">
      <c r="A484" s="4">
        <v>45221</v>
      </c>
      <c r="B484" s="2" t="s">
        <v>910</v>
      </c>
      <c r="C484" s="2" t="s">
        <v>316</v>
      </c>
      <c r="D484" t="s">
        <v>84</v>
      </c>
      <c r="E484" s="2" t="s">
        <v>85</v>
      </c>
      <c r="F484" s="2" t="s">
        <v>35</v>
      </c>
      <c r="G484" s="2" t="s">
        <v>67</v>
      </c>
      <c r="H484" s="2" t="s">
        <v>368</v>
      </c>
      <c r="I484" s="2">
        <v>1</v>
      </c>
      <c r="J484" s="2">
        <v>9829</v>
      </c>
      <c r="K484" s="2">
        <v>0</v>
      </c>
      <c r="L484" s="2">
        <v>0</v>
      </c>
      <c r="M484" s="2">
        <v>9829</v>
      </c>
      <c r="N484" s="2" t="s">
        <v>23</v>
      </c>
      <c r="O484" s="2">
        <v>3</v>
      </c>
      <c r="P484" s="2" t="s">
        <v>24</v>
      </c>
    </row>
    <row r="485" spans="1:16" x14ac:dyDescent="0.25">
      <c r="A485" s="4">
        <v>45222</v>
      </c>
      <c r="B485" s="2" t="s">
        <v>911</v>
      </c>
      <c r="C485" s="2" t="s">
        <v>765</v>
      </c>
      <c r="D485" t="s">
        <v>18</v>
      </c>
      <c r="E485" s="2" t="s">
        <v>19</v>
      </c>
      <c r="F485" s="2" t="s">
        <v>61</v>
      </c>
      <c r="G485" s="2" t="s">
        <v>150</v>
      </c>
      <c r="H485" s="2" t="s">
        <v>209</v>
      </c>
      <c r="I485" s="2">
        <v>1</v>
      </c>
      <c r="J485" s="2">
        <v>271</v>
      </c>
      <c r="K485" s="2">
        <v>0</v>
      </c>
      <c r="L485" s="2">
        <v>0</v>
      </c>
      <c r="M485" s="2">
        <v>271</v>
      </c>
      <c r="N485" s="2" t="s">
        <v>23</v>
      </c>
      <c r="O485" s="2">
        <v>1</v>
      </c>
      <c r="P485" s="2" t="s">
        <v>24</v>
      </c>
    </row>
    <row r="486" spans="1:16" x14ac:dyDescent="0.25">
      <c r="A486" s="4">
        <v>45223</v>
      </c>
      <c r="B486" s="2" t="s">
        <v>912</v>
      </c>
      <c r="C486" s="2" t="s">
        <v>70</v>
      </c>
      <c r="D486" t="s">
        <v>33</v>
      </c>
      <c r="E486" s="2" t="s">
        <v>34</v>
      </c>
      <c r="F486" s="2" t="s">
        <v>35</v>
      </c>
      <c r="G486" s="2" t="s">
        <v>124</v>
      </c>
      <c r="H486" s="2" t="s">
        <v>125</v>
      </c>
      <c r="I486" s="2">
        <v>1</v>
      </c>
      <c r="J486" s="2">
        <v>13608</v>
      </c>
      <c r="K486" s="2">
        <v>0</v>
      </c>
      <c r="L486" s="2">
        <v>0</v>
      </c>
      <c r="M486" s="2">
        <v>13608</v>
      </c>
      <c r="N486" s="2" t="s">
        <v>44</v>
      </c>
      <c r="O486" s="2">
        <v>5</v>
      </c>
      <c r="P486" s="2" t="s">
        <v>24</v>
      </c>
    </row>
    <row r="487" spans="1:16" x14ac:dyDescent="0.25">
      <c r="A487" s="4">
        <v>45224</v>
      </c>
      <c r="B487" s="2" t="s">
        <v>913</v>
      </c>
      <c r="C487" s="2" t="s">
        <v>494</v>
      </c>
      <c r="D487" t="s">
        <v>174</v>
      </c>
      <c r="E487" s="2" t="s">
        <v>60</v>
      </c>
      <c r="F487" s="2" t="s">
        <v>71</v>
      </c>
      <c r="G487" s="2" t="s">
        <v>86</v>
      </c>
      <c r="H487" s="2" t="s">
        <v>145</v>
      </c>
      <c r="I487" s="2">
        <v>1</v>
      </c>
      <c r="J487" s="2">
        <v>78</v>
      </c>
      <c r="K487" s="2">
        <v>5</v>
      </c>
      <c r="L487" s="2">
        <v>3.9</v>
      </c>
      <c r="M487" s="2">
        <v>74.099999999999994</v>
      </c>
      <c r="N487" s="2" t="s">
        <v>44</v>
      </c>
      <c r="O487" s="2">
        <v>6</v>
      </c>
      <c r="P487" s="2" t="s">
        <v>24</v>
      </c>
    </row>
    <row r="488" spans="1:16" x14ac:dyDescent="0.25">
      <c r="A488" s="4">
        <v>45225</v>
      </c>
      <c r="B488" s="2" t="s">
        <v>914</v>
      </c>
      <c r="C488" s="2" t="s">
        <v>155</v>
      </c>
      <c r="D488" t="s">
        <v>33</v>
      </c>
      <c r="E488" s="2" t="s">
        <v>34</v>
      </c>
      <c r="F488" s="2" t="s">
        <v>28</v>
      </c>
      <c r="G488" s="2" t="s">
        <v>29</v>
      </c>
      <c r="H488" s="2" t="s">
        <v>30</v>
      </c>
      <c r="I488" s="2">
        <v>1</v>
      </c>
      <c r="J488" s="2">
        <v>1916</v>
      </c>
      <c r="K488" s="2">
        <v>0</v>
      </c>
      <c r="L488" s="2">
        <v>0</v>
      </c>
      <c r="M488" s="2">
        <v>1916</v>
      </c>
      <c r="N488" s="2" t="s">
        <v>50</v>
      </c>
      <c r="O488" s="2">
        <v>2</v>
      </c>
      <c r="P488" s="2" t="s">
        <v>24</v>
      </c>
    </row>
    <row r="489" spans="1:16" x14ac:dyDescent="0.25">
      <c r="A489" s="4">
        <v>45226</v>
      </c>
      <c r="B489" s="2" t="s">
        <v>915</v>
      </c>
      <c r="C489" s="2" t="s">
        <v>873</v>
      </c>
      <c r="D489" t="s">
        <v>53</v>
      </c>
      <c r="E489" s="2" t="s">
        <v>53</v>
      </c>
      <c r="F489" s="2" t="s">
        <v>61</v>
      </c>
      <c r="G489" s="2" t="s">
        <v>262</v>
      </c>
      <c r="H489" s="2" t="s">
        <v>310</v>
      </c>
      <c r="I489" s="2">
        <v>1</v>
      </c>
      <c r="J489" s="2">
        <v>1165</v>
      </c>
      <c r="K489" s="2">
        <v>10</v>
      </c>
      <c r="L489" s="2">
        <v>116.5</v>
      </c>
      <c r="M489" s="2">
        <v>1048.5</v>
      </c>
      <c r="N489" s="2" t="s">
        <v>56</v>
      </c>
      <c r="O489" s="2">
        <v>1</v>
      </c>
      <c r="P489" s="2" t="s">
        <v>24</v>
      </c>
    </row>
    <row r="490" spans="1:16" x14ac:dyDescent="0.25">
      <c r="A490" s="4">
        <v>45227</v>
      </c>
      <c r="B490" s="2" t="s">
        <v>916</v>
      </c>
      <c r="C490" s="2" t="s">
        <v>917</v>
      </c>
      <c r="D490" t="s">
        <v>33</v>
      </c>
      <c r="E490" s="2" t="s">
        <v>34</v>
      </c>
      <c r="F490" s="2" t="s">
        <v>61</v>
      </c>
      <c r="G490" s="2" t="s">
        <v>200</v>
      </c>
      <c r="H490" s="2" t="s">
        <v>226</v>
      </c>
      <c r="I490" s="2">
        <v>1</v>
      </c>
      <c r="J490" s="2">
        <v>1284</v>
      </c>
      <c r="K490" s="2">
        <v>0</v>
      </c>
      <c r="L490" s="2">
        <v>0</v>
      </c>
      <c r="M490" s="2">
        <v>1284</v>
      </c>
      <c r="N490" s="2" t="s">
        <v>44</v>
      </c>
      <c r="O490" s="2">
        <v>2</v>
      </c>
      <c r="P490" s="2" t="s">
        <v>92</v>
      </c>
    </row>
    <row r="491" spans="1:16" x14ac:dyDescent="0.25">
      <c r="A491" s="4">
        <v>45228</v>
      </c>
      <c r="B491" s="2" t="s">
        <v>918</v>
      </c>
      <c r="C491" s="2" t="s">
        <v>321</v>
      </c>
      <c r="D491" t="s">
        <v>174</v>
      </c>
      <c r="E491" s="2" t="s">
        <v>60</v>
      </c>
      <c r="F491" s="2" t="s">
        <v>35</v>
      </c>
      <c r="G491" s="2" t="s">
        <v>36</v>
      </c>
      <c r="H491" s="2" t="s">
        <v>37</v>
      </c>
      <c r="I491" s="2">
        <v>1</v>
      </c>
      <c r="J491" s="2">
        <v>34753</v>
      </c>
      <c r="K491" s="2">
        <v>5</v>
      </c>
      <c r="L491" s="2">
        <v>1737.65</v>
      </c>
      <c r="M491" s="2">
        <v>33015.35</v>
      </c>
      <c r="N491" s="2" t="s">
        <v>56</v>
      </c>
      <c r="O491" s="2">
        <v>1</v>
      </c>
      <c r="P491" s="2" t="s">
        <v>24</v>
      </c>
    </row>
    <row r="492" spans="1:16" x14ac:dyDescent="0.25">
      <c r="A492" s="4">
        <v>45229</v>
      </c>
      <c r="B492" s="2" t="s">
        <v>919</v>
      </c>
      <c r="C492" s="2" t="s">
        <v>533</v>
      </c>
      <c r="D492" t="s">
        <v>47</v>
      </c>
      <c r="E492" s="2" t="s">
        <v>48</v>
      </c>
      <c r="F492" s="2" t="s">
        <v>28</v>
      </c>
      <c r="G492" s="2" t="s">
        <v>289</v>
      </c>
      <c r="H492" s="2" t="s">
        <v>439</v>
      </c>
      <c r="I492" s="2">
        <v>1</v>
      </c>
      <c r="J492" s="2">
        <v>1405</v>
      </c>
      <c r="K492" s="2">
        <v>10</v>
      </c>
      <c r="L492" s="2">
        <v>140.5</v>
      </c>
      <c r="M492" s="2">
        <v>1264.5</v>
      </c>
      <c r="N492" s="2" t="s">
        <v>23</v>
      </c>
      <c r="O492" s="2">
        <v>3</v>
      </c>
      <c r="P492" s="2" t="s">
        <v>24</v>
      </c>
    </row>
    <row r="493" spans="1:16" x14ac:dyDescent="0.25">
      <c r="A493" s="4">
        <v>45230</v>
      </c>
      <c r="B493" s="2" t="s">
        <v>920</v>
      </c>
      <c r="C493" s="2" t="s">
        <v>233</v>
      </c>
      <c r="D493" t="s">
        <v>59</v>
      </c>
      <c r="E493" s="2" t="s">
        <v>60</v>
      </c>
      <c r="F493" s="2" t="s">
        <v>20</v>
      </c>
      <c r="G493" s="2" t="s">
        <v>170</v>
      </c>
      <c r="H493" s="2" t="s">
        <v>563</v>
      </c>
      <c r="I493" s="2">
        <v>3</v>
      </c>
      <c r="J493" s="2">
        <v>2584</v>
      </c>
      <c r="K493" s="2">
        <v>0</v>
      </c>
      <c r="L493" s="2">
        <v>0</v>
      </c>
      <c r="M493" s="2">
        <v>7752</v>
      </c>
      <c r="N493" s="2" t="s">
        <v>23</v>
      </c>
      <c r="O493" s="2">
        <v>2</v>
      </c>
      <c r="P493" s="2" t="s">
        <v>24</v>
      </c>
    </row>
    <row r="494" spans="1:16" x14ac:dyDescent="0.25">
      <c r="A494" s="4">
        <v>45231</v>
      </c>
      <c r="B494" s="2" t="s">
        <v>921</v>
      </c>
      <c r="C494" s="2" t="s">
        <v>598</v>
      </c>
      <c r="D494" t="s">
        <v>18</v>
      </c>
      <c r="E494" s="2" t="s">
        <v>19</v>
      </c>
      <c r="F494" s="2" t="s">
        <v>35</v>
      </c>
      <c r="G494" s="2" t="s">
        <v>67</v>
      </c>
      <c r="H494" s="2" t="s">
        <v>68</v>
      </c>
      <c r="I494" s="2">
        <v>1</v>
      </c>
      <c r="J494" s="2">
        <v>2253</v>
      </c>
      <c r="K494" s="2">
        <v>5</v>
      </c>
      <c r="L494" s="2">
        <v>112.65</v>
      </c>
      <c r="M494" s="2">
        <v>2140.35</v>
      </c>
      <c r="N494" s="2" t="s">
        <v>23</v>
      </c>
      <c r="O494" s="2">
        <v>3</v>
      </c>
      <c r="P494" s="2" t="s">
        <v>24</v>
      </c>
    </row>
    <row r="495" spans="1:16" x14ac:dyDescent="0.25">
      <c r="A495" s="4">
        <v>45232</v>
      </c>
      <c r="B495" s="2" t="s">
        <v>922</v>
      </c>
      <c r="C495" s="2" t="s">
        <v>667</v>
      </c>
      <c r="D495" t="s">
        <v>66</v>
      </c>
      <c r="E495" s="2" t="s">
        <v>19</v>
      </c>
      <c r="F495" s="2" t="s">
        <v>61</v>
      </c>
      <c r="G495" s="2" t="s">
        <v>62</v>
      </c>
      <c r="H495" s="2" t="s">
        <v>63</v>
      </c>
      <c r="I495" s="2">
        <v>1</v>
      </c>
      <c r="J495" s="2">
        <v>1260</v>
      </c>
      <c r="K495" s="2">
        <v>15</v>
      </c>
      <c r="L495" s="2">
        <v>189</v>
      </c>
      <c r="M495" s="2">
        <v>1071</v>
      </c>
      <c r="N495" s="2" t="s">
        <v>50</v>
      </c>
      <c r="O495" s="2">
        <v>1</v>
      </c>
      <c r="P495" s="2" t="s">
        <v>24</v>
      </c>
    </row>
    <row r="496" spans="1:16" x14ac:dyDescent="0.25">
      <c r="A496" s="4">
        <v>45233</v>
      </c>
      <c r="B496" s="2" t="s">
        <v>923</v>
      </c>
      <c r="C496" s="2" t="s">
        <v>389</v>
      </c>
      <c r="D496" t="s">
        <v>33</v>
      </c>
      <c r="E496" s="2" t="s">
        <v>34</v>
      </c>
      <c r="F496" s="2" t="s">
        <v>61</v>
      </c>
      <c r="G496" s="2" t="s">
        <v>150</v>
      </c>
      <c r="H496" s="2" t="s">
        <v>359</v>
      </c>
      <c r="I496" s="2">
        <v>2</v>
      </c>
      <c r="J496" s="2">
        <v>217</v>
      </c>
      <c r="K496" s="2">
        <v>5</v>
      </c>
      <c r="L496" s="2">
        <v>21.7</v>
      </c>
      <c r="M496" s="2">
        <v>412.3</v>
      </c>
      <c r="N496" s="2" t="s">
        <v>44</v>
      </c>
      <c r="O496" s="2">
        <v>3</v>
      </c>
      <c r="P496" s="2" t="s">
        <v>24</v>
      </c>
    </row>
    <row r="497" spans="1:16" x14ac:dyDescent="0.25">
      <c r="A497" s="4">
        <v>45234</v>
      </c>
      <c r="B497" s="2" t="s">
        <v>924</v>
      </c>
      <c r="C497" s="2" t="s">
        <v>389</v>
      </c>
      <c r="D497" t="s">
        <v>174</v>
      </c>
      <c r="E497" s="2" t="s">
        <v>60</v>
      </c>
      <c r="F497" s="2" t="s">
        <v>20</v>
      </c>
      <c r="G497" s="2" t="s">
        <v>170</v>
      </c>
      <c r="H497" s="2" t="s">
        <v>469</v>
      </c>
      <c r="I497" s="2">
        <v>2</v>
      </c>
      <c r="J497" s="2">
        <v>5707</v>
      </c>
      <c r="K497" s="2">
        <v>5</v>
      </c>
      <c r="L497" s="2">
        <v>570.70000000000005</v>
      </c>
      <c r="M497" s="2">
        <v>10843.3</v>
      </c>
      <c r="N497" s="2" t="s">
        <v>50</v>
      </c>
      <c r="O497" s="2">
        <v>3</v>
      </c>
      <c r="P497" s="2" t="s">
        <v>24</v>
      </c>
    </row>
    <row r="498" spans="1:16" x14ac:dyDescent="0.25">
      <c r="A498" s="4">
        <v>45235</v>
      </c>
      <c r="B498" s="2" t="s">
        <v>925</v>
      </c>
      <c r="C498" s="2" t="s">
        <v>869</v>
      </c>
      <c r="D498" t="s">
        <v>18</v>
      </c>
      <c r="E498" s="2" t="s">
        <v>19</v>
      </c>
      <c r="F498" s="2" t="s">
        <v>61</v>
      </c>
      <c r="G498" s="2" t="s">
        <v>200</v>
      </c>
      <c r="H498" s="2" t="s">
        <v>226</v>
      </c>
      <c r="I498" s="2">
        <v>1</v>
      </c>
      <c r="J498" s="2">
        <v>732</v>
      </c>
      <c r="K498" s="2">
        <v>0</v>
      </c>
      <c r="L498" s="2">
        <v>0</v>
      </c>
      <c r="M498" s="2">
        <v>732</v>
      </c>
      <c r="N498" s="2" t="s">
        <v>56</v>
      </c>
      <c r="O498" s="2">
        <v>1</v>
      </c>
      <c r="P498" s="2" t="s">
        <v>24</v>
      </c>
    </row>
    <row r="499" spans="1:16" x14ac:dyDescent="0.25">
      <c r="A499" s="4">
        <v>45236</v>
      </c>
      <c r="B499" s="2" t="s">
        <v>926</v>
      </c>
      <c r="C499" s="2" t="s">
        <v>405</v>
      </c>
      <c r="D499" t="s">
        <v>41</v>
      </c>
      <c r="E499" s="2" t="s">
        <v>19</v>
      </c>
      <c r="F499" s="2" t="s">
        <v>35</v>
      </c>
      <c r="G499" s="2" t="s">
        <v>130</v>
      </c>
      <c r="H499" s="2" t="s">
        <v>175</v>
      </c>
      <c r="I499" s="2">
        <v>1</v>
      </c>
      <c r="J499" s="2">
        <v>23119</v>
      </c>
      <c r="K499" s="2">
        <v>10</v>
      </c>
      <c r="L499" s="2">
        <v>2311.9</v>
      </c>
      <c r="M499" s="2">
        <v>20807.099999999999</v>
      </c>
      <c r="N499" s="2" t="s">
        <v>23</v>
      </c>
      <c r="O499" s="2">
        <v>3</v>
      </c>
      <c r="P499" s="2" t="s">
        <v>24</v>
      </c>
    </row>
    <row r="500" spans="1:16" x14ac:dyDescent="0.25">
      <c r="A500" s="4">
        <v>45237</v>
      </c>
      <c r="B500" s="2" t="s">
        <v>927</v>
      </c>
      <c r="C500" s="2" t="s">
        <v>928</v>
      </c>
      <c r="D500" t="s">
        <v>33</v>
      </c>
      <c r="E500" s="2" t="s">
        <v>34</v>
      </c>
      <c r="F500" s="2" t="s">
        <v>20</v>
      </c>
      <c r="G500" s="2" t="s">
        <v>54</v>
      </c>
      <c r="H500" s="2" t="s">
        <v>236</v>
      </c>
      <c r="I500" s="2">
        <v>1</v>
      </c>
      <c r="J500" s="2">
        <v>606</v>
      </c>
      <c r="K500" s="2">
        <v>15</v>
      </c>
      <c r="L500" s="2">
        <v>90.9</v>
      </c>
      <c r="M500" s="2">
        <v>515.1</v>
      </c>
      <c r="N500" s="2" t="s">
        <v>56</v>
      </c>
      <c r="O500" s="2">
        <v>4</v>
      </c>
      <c r="P500" s="2" t="s">
        <v>24</v>
      </c>
    </row>
    <row r="501" spans="1:16" x14ac:dyDescent="0.25">
      <c r="A501" s="4">
        <v>45238</v>
      </c>
      <c r="B501" s="2" t="s">
        <v>929</v>
      </c>
      <c r="C501" s="2" t="s">
        <v>177</v>
      </c>
      <c r="D501" t="s">
        <v>41</v>
      </c>
      <c r="E501" s="2" t="s">
        <v>19</v>
      </c>
      <c r="F501" s="2" t="s">
        <v>35</v>
      </c>
      <c r="G501" s="2" t="s">
        <v>130</v>
      </c>
      <c r="H501" s="2" t="s">
        <v>175</v>
      </c>
      <c r="I501" s="2">
        <v>1</v>
      </c>
      <c r="J501" s="2">
        <v>21630</v>
      </c>
      <c r="K501" s="2">
        <v>10</v>
      </c>
      <c r="L501" s="2">
        <v>2163</v>
      </c>
      <c r="M501" s="2">
        <v>19467</v>
      </c>
      <c r="N501" s="2" t="s">
        <v>23</v>
      </c>
      <c r="O501" s="2">
        <v>2</v>
      </c>
      <c r="P501" s="2" t="s">
        <v>24</v>
      </c>
    </row>
    <row r="502" spans="1:16" x14ac:dyDescent="0.25">
      <c r="A502" s="4">
        <v>45239</v>
      </c>
      <c r="B502" s="2" t="s">
        <v>930</v>
      </c>
      <c r="C502" s="2" t="s">
        <v>358</v>
      </c>
      <c r="D502" t="s">
        <v>174</v>
      </c>
      <c r="E502" s="2" t="s">
        <v>60</v>
      </c>
      <c r="F502" s="2" t="s">
        <v>71</v>
      </c>
      <c r="G502" s="2" t="s">
        <v>72</v>
      </c>
      <c r="H502" s="2" t="s">
        <v>73</v>
      </c>
      <c r="I502" s="2">
        <v>3</v>
      </c>
      <c r="J502" s="2">
        <v>204</v>
      </c>
      <c r="K502" s="2">
        <v>15</v>
      </c>
      <c r="L502" s="2">
        <v>91.8</v>
      </c>
      <c r="M502" s="2">
        <v>520.20000000000005</v>
      </c>
      <c r="N502" s="2" t="s">
        <v>50</v>
      </c>
      <c r="O502" s="2">
        <v>2</v>
      </c>
      <c r="P502" s="2" t="s">
        <v>24</v>
      </c>
    </row>
    <row r="503" spans="1:16" x14ac:dyDescent="0.25">
      <c r="A503" s="4">
        <v>45240</v>
      </c>
      <c r="B503" s="2" t="s">
        <v>931</v>
      </c>
      <c r="C503" s="2" t="s">
        <v>75</v>
      </c>
      <c r="D503" t="s">
        <v>41</v>
      </c>
      <c r="E503" s="2" t="s">
        <v>19</v>
      </c>
      <c r="F503" s="2" t="s">
        <v>61</v>
      </c>
      <c r="G503" s="2" t="s">
        <v>62</v>
      </c>
      <c r="H503" s="2" t="s">
        <v>414</v>
      </c>
      <c r="I503" s="2">
        <v>2</v>
      </c>
      <c r="J503" s="2">
        <v>839</v>
      </c>
      <c r="K503" s="2">
        <v>0</v>
      </c>
      <c r="L503" s="2">
        <v>0</v>
      </c>
      <c r="M503" s="2">
        <v>1678</v>
      </c>
      <c r="N503" s="2" t="s">
        <v>44</v>
      </c>
      <c r="O503" s="2">
        <v>6</v>
      </c>
      <c r="P503" s="2" t="s">
        <v>92</v>
      </c>
    </row>
    <row r="504" spans="1:16" x14ac:dyDescent="0.25">
      <c r="A504" s="4">
        <v>45241</v>
      </c>
      <c r="B504" s="2" t="s">
        <v>932</v>
      </c>
      <c r="C504" s="2" t="s">
        <v>273</v>
      </c>
      <c r="D504" t="s">
        <v>27</v>
      </c>
      <c r="E504" s="2" t="s">
        <v>19</v>
      </c>
      <c r="F504" s="2" t="s">
        <v>20</v>
      </c>
      <c r="G504" s="2" t="s">
        <v>170</v>
      </c>
      <c r="H504" s="2" t="s">
        <v>563</v>
      </c>
      <c r="I504" s="2">
        <v>1</v>
      </c>
      <c r="J504" s="2">
        <v>2358</v>
      </c>
      <c r="K504" s="2">
        <v>5</v>
      </c>
      <c r="L504" s="2">
        <v>117.9</v>
      </c>
      <c r="M504" s="2">
        <v>2240.1</v>
      </c>
      <c r="N504" s="2" t="s">
        <v>44</v>
      </c>
      <c r="O504" s="2">
        <v>4</v>
      </c>
      <c r="P504" s="2" t="s">
        <v>92</v>
      </c>
    </row>
    <row r="505" spans="1:16" x14ac:dyDescent="0.25">
      <c r="A505" s="4">
        <v>45242</v>
      </c>
      <c r="B505" s="2" t="s">
        <v>933</v>
      </c>
      <c r="C505" s="2" t="s">
        <v>691</v>
      </c>
      <c r="D505" t="s">
        <v>174</v>
      </c>
      <c r="E505" s="2" t="s">
        <v>60</v>
      </c>
      <c r="F505" s="2" t="s">
        <v>71</v>
      </c>
      <c r="G505" s="2" t="s">
        <v>106</v>
      </c>
      <c r="H505" s="2" t="s">
        <v>107</v>
      </c>
      <c r="I505" s="2">
        <v>1</v>
      </c>
      <c r="J505" s="2">
        <v>1141</v>
      </c>
      <c r="K505" s="2">
        <v>15</v>
      </c>
      <c r="L505" s="2">
        <v>171.15</v>
      </c>
      <c r="M505" s="2">
        <v>969.85</v>
      </c>
      <c r="N505" s="2" t="s">
        <v>44</v>
      </c>
      <c r="O505" s="2">
        <v>5</v>
      </c>
      <c r="P505" s="2" t="s">
        <v>24</v>
      </c>
    </row>
    <row r="506" spans="1:16" x14ac:dyDescent="0.25">
      <c r="A506" s="4">
        <v>45243</v>
      </c>
      <c r="B506" s="2" t="s">
        <v>934</v>
      </c>
      <c r="C506" s="2" t="s">
        <v>213</v>
      </c>
      <c r="D506" t="s">
        <v>27</v>
      </c>
      <c r="E506" s="2" t="s">
        <v>19</v>
      </c>
      <c r="F506" s="2" t="s">
        <v>28</v>
      </c>
      <c r="G506" s="2" t="s">
        <v>289</v>
      </c>
      <c r="H506" s="2" t="s">
        <v>554</v>
      </c>
      <c r="I506" s="2">
        <v>1</v>
      </c>
      <c r="J506" s="2">
        <v>2859</v>
      </c>
      <c r="K506" s="2">
        <v>5</v>
      </c>
      <c r="L506" s="2">
        <v>142.94999999999999</v>
      </c>
      <c r="M506" s="2">
        <v>2716.05</v>
      </c>
      <c r="N506" s="2" t="s">
        <v>44</v>
      </c>
      <c r="O506" s="2">
        <v>3</v>
      </c>
      <c r="P506" s="2" t="s">
        <v>92</v>
      </c>
    </row>
    <row r="507" spans="1:16" x14ac:dyDescent="0.25">
      <c r="A507" s="4">
        <v>45244</v>
      </c>
      <c r="B507" s="2" t="s">
        <v>935</v>
      </c>
      <c r="C507" s="2" t="s">
        <v>299</v>
      </c>
      <c r="D507" t="s">
        <v>84</v>
      </c>
      <c r="E507" s="2" t="s">
        <v>85</v>
      </c>
      <c r="F507" s="2" t="s">
        <v>28</v>
      </c>
      <c r="G507" s="2" t="s">
        <v>289</v>
      </c>
      <c r="H507" s="2" t="s">
        <v>290</v>
      </c>
      <c r="I507" s="2">
        <v>1</v>
      </c>
      <c r="J507" s="2">
        <v>1330</v>
      </c>
      <c r="K507" s="2">
        <v>0</v>
      </c>
      <c r="L507" s="2">
        <v>0</v>
      </c>
      <c r="M507" s="2">
        <v>1330</v>
      </c>
      <c r="N507" s="2" t="s">
        <v>44</v>
      </c>
      <c r="O507" s="2">
        <v>3</v>
      </c>
      <c r="P507" s="2" t="s">
        <v>24</v>
      </c>
    </row>
    <row r="508" spans="1:16" x14ac:dyDescent="0.25">
      <c r="A508" s="4">
        <v>45245</v>
      </c>
      <c r="B508" s="2" t="s">
        <v>936</v>
      </c>
      <c r="C508" s="2" t="s">
        <v>703</v>
      </c>
      <c r="D508" t="s">
        <v>18</v>
      </c>
      <c r="E508" s="2" t="s">
        <v>19</v>
      </c>
      <c r="F508" s="2" t="s">
        <v>28</v>
      </c>
      <c r="G508" s="2" t="s">
        <v>90</v>
      </c>
      <c r="H508" s="2" t="s">
        <v>456</v>
      </c>
      <c r="I508" s="2">
        <v>1</v>
      </c>
      <c r="J508" s="2">
        <v>2675</v>
      </c>
      <c r="K508" s="2">
        <v>10</v>
      </c>
      <c r="L508" s="2">
        <v>267.5</v>
      </c>
      <c r="M508" s="2">
        <v>2407.5</v>
      </c>
      <c r="N508" s="2" t="s">
        <v>23</v>
      </c>
      <c r="O508" s="2">
        <v>3</v>
      </c>
      <c r="P508" s="2" t="s">
        <v>24</v>
      </c>
    </row>
    <row r="509" spans="1:16" x14ac:dyDescent="0.25">
      <c r="A509" s="4">
        <v>45246</v>
      </c>
      <c r="B509" s="2" t="s">
        <v>937</v>
      </c>
      <c r="C509" s="2" t="s">
        <v>938</v>
      </c>
      <c r="D509" t="s">
        <v>33</v>
      </c>
      <c r="E509" s="2" t="s">
        <v>34</v>
      </c>
      <c r="F509" s="2" t="s">
        <v>20</v>
      </c>
      <c r="G509" s="2" t="s">
        <v>42</v>
      </c>
      <c r="H509" s="2" t="s">
        <v>278</v>
      </c>
      <c r="I509" s="2">
        <v>2</v>
      </c>
      <c r="J509" s="2">
        <v>5802</v>
      </c>
      <c r="K509" s="2">
        <v>5</v>
      </c>
      <c r="L509" s="2">
        <v>580.20000000000005</v>
      </c>
      <c r="M509" s="2">
        <v>11023.8</v>
      </c>
      <c r="N509" s="2" t="s">
        <v>44</v>
      </c>
      <c r="O509" s="2">
        <v>5</v>
      </c>
      <c r="P509" s="2" t="s">
        <v>24</v>
      </c>
    </row>
    <row r="510" spans="1:16" x14ac:dyDescent="0.25">
      <c r="A510" s="4">
        <v>45247</v>
      </c>
      <c r="B510" s="2" t="s">
        <v>939</v>
      </c>
      <c r="C510" s="2" t="s">
        <v>324</v>
      </c>
      <c r="D510" t="s">
        <v>33</v>
      </c>
      <c r="E510" s="2" t="s">
        <v>34</v>
      </c>
      <c r="F510" s="2" t="s">
        <v>71</v>
      </c>
      <c r="G510" s="2" t="s">
        <v>86</v>
      </c>
      <c r="H510" s="2" t="s">
        <v>616</v>
      </c>
      <c r="I510" s="2">
        <v>1</v>
      </c>
      <c r="J510" s="2">
        <v>691</v>
      </c>
      <c r="K510" s="2">
        <v>5</v>
      </c>
      <c r="L510" s="2">
        <v>34.549999999999997</v>
      </c>
      <c r="M510" s="2">
        <v>656.45</v>
      </c>
      <c r="N510" s="2" t="s">
        <v>56</v>
      </c>
      <c r="O510" s="2">
        <v>2</v>
      </c>
      <c r="P510" s="2" t="s">
        <v>24</v>
      </c>
    </row>
    <row r="511" spans="1:16" x14ac:dyDescent="0.25">
      <c r="A511" s="4">
        <v>45248</v>
      </c>
      <c r="B511" s="2" t="s">
        <v>940</v>
      </c>
      <c r="C511" s="2" t="s">
        <v>703</v>
      </c>
      <c r="D511" t="s">
        <v>53</v>
      </c>
      <c r="E511" s="2" t="s">
        <v>53</v>
      </c>
      <c r="F511" s="2" t="s">
        <v>28</v>
      </c>
      <c r="G511" s="2" t="s">
        <v>110</v>
      </c>
      <c r="H511" s="2" t="s">
        <v>317</v>
      </c>
      <c r="I511" s="2">
        <v>1</v>
      </c>
      <c r="J511" s="2">
        <v>4000</v>
      </c>
      <c r="K511" s="2">
        <v>0</v>
      </c>
      <c r="L511" s="2">
        <v>0</v>
      </c>
      <c r="M511" s="2">
        <v>4000</v>
      </c>
      <c r="N511" s="2" t="s">
        <v>50</v>
      </c>
      <c r="O511" s="2">
        <v>3</v>
      </c>
      <c r="P511" s="2" t="s">
        <v>24</v>
      </c>
    </row>
    <row r="512" spans="1:16" x14ac:dyDescent="0.25">
      <c r="A512" s="4">
        <v>45249</v>
      </c>
      <c r="B512" s="2" t="s">
        <v>941</v>
      </c>
      <c r="C512" s="2" t="s">
        <v>550</v>
      </c>
      <c r="D512" t="s">
        <v>27</v>
      </c>
      <c r="E512" s="2" t="s">
        <v>19</v>
      </c>
      <c r="F512" s="2" t="s">
        <v>61</v>
      </c>
      <c r="G512" s="2" t="s">
        <v>150</v>
      </c>
      <c r="H512" s="2" t="s">
        <v>151</v>
      </c>
      <c r="I512" s="2">
        <v>3</v>
      </c>
      <c r="J512" s="2">
        <v>1615</v>
      </c>
      <c r="K512" s="2">
        <v>15</v>
      </c>
      <c r="L512" s="2">
        <v>726.75</v>
      </c>
      <c r="M512" s="2">
        <v>4118.25</v>
      </c>
      <c r="N512" s="2" t="s">
        <v>23</v>
      </c>
      <c r="O512" s="2">
        <v>5</v>
      </c>
      <c r="P512" s="2" t="s">
        <v>24</v>
      </c>
    </row>
    <row r="513" spans="1:16" x14ac:dyDescent="0.25">
      <c r="A513" s="4">
        <v>45250</v>
      </c>
      <c r="B513" s="2" t="s">
        <v>942</v>
      </c>
      <c r="C513" s="2" t="s">
        <v>578</v>
      </c>
      <c r="D513" t="s">
        <v>18</v>
      </c>
      <c r="E513" s="2" t="s">
        <v>19</v>
      </c>
      <c r="F513" s="2" t="s">
        <v>28</v>
      </c>
      <c r="G513" s="2" t="s">
        <v>289</v>
      </c>
      <c r="H513" s="2" t="s">
        <v>290</v>
      </c>
      <c r="I513" s="2">
        <v>1</v>
      </c>
      <c r="J513" s="2">
        <v>1399</v>
      </c>
      <c r="K513" s="2">
        <v>15</v>
      </c>
      <c r="L513" s="2">
        <v>209.85</v>
      </c>
      <c r="M513" s="2">
        <v>1189.1500000000001</v>
      </c>
      <c r="N513" s="2" t="s">
        <v>50</v>
      </c>
      <c r="O513" s="2">
        <v>4</v>
      </c>
      <c r="P513" s="2" t="s">
        <v>24</v>
      </c>
    </row>
    <row r="514" spans="1:16" x14ac:dyDescent="0.25">
      <c r="A514" s="4">
        <v>45251</v>
      </c>
      <c r="B514" s="2" t="s">
        <v>943</v>
      </c>
      <c r="C514" s="2" t="s">
        <v>294</v>
      </c>
      <c r="D514" t="s">
        <v>84</v>
      </c>
      <c r="E514" s="2" t="s">
        <v>85</v>
      </c>
      <c r="F514" s="2" t="s">
        <v>35</v>
      </c>
      <c r="G514" s="2" t="s">
        <v>80</v>
      </c>
      <c r="H514" s="2" t="s">
        <v>216</v>
      </c>
      <c r="I514" s="2">
        <v>1</v>
      </c>
      <c r="J514" s="2">
        <v>11000</v>
      </c>
      <c r="K514" s="2">
        <v>5</v>
      </c>
      <c r="L514" s="2">
        <v>550</v>
      </c>
      <c r="M514" s="2">
        <v>10450</v>
      </c>
      <c r="N514" s="2" t="s">
        <v>23</v>
      </c>
      <c r="O514" s="2">
        <v>4</v>
      </c>
      <c r="P514" s="2" t="s">
        <v>24</v>
      </c>
    </row>
    <row r="515" spans="1:16" x14ac:dyDescent="0.25">
      <c r="A515" s="4">
        <v>45252</v>
      </c>
      <c r="B515" s="2" t="s">
        <v>944</v>
      </c>
      <c r="C515" s="2" t="s">
        <v>565</v>
      </c>
      <c r="D515" t="s">
        <v>59</v>
      </c>
      <c r="E515" s="2" t="s">
        <v>60</v>
      </c>
      <c r="F515" s="2" t="s">
        <v>20</v>
      </c>
      <c r="G515" s="2" t="s">
        <v>170</v>
      </c>
      <c r="H515" s="2" t="s">
        <v>286</v>
      </c>
      <c r="I515" s="2">
        <v>2</v>
      </c>
      <c r="J515" s="2">
        <v>843</v>
      </c>
      <c r="K515" s="2">
        <v>10</v>
      </c>
      <c r="L515" s="2">
        <v>168.6</v>
      </c>
      <c r="M515" s="2">
        <v>1517.4</v>
      </c>
      <c r="N515" s="2" t="s">
        <v>44</v>
      </c>
      <c r="O515" s="2">
        <v>4</v>
      </c>
      <c r="P515" s="2" t="s">
        <v>24</v>
      </c>
    </row>
    <row r="516" spans="1:16" x14ac:dyDescent="0.25">
      <c r="A516" s="4">
        <v>45253</v>
      </c>
      <c r="B516" s="2" t="s">
        <v>945</v>
      </c>
      <c r="C516" s="2" t="s">
        <v>706</v>
      </c>
      <c r="D516" t="s">
        <v>174</v>
      </c>
      <c r="E516" s="2" t="s">
        <v>60</v>
      </c>
      <c r="F516" s="2" t="s">
        <v>61</v>
      </c>
      <c r="G516" s="2" t="s">
        <v>62</v>
      </c>
      <c r="H516" s="2" t="s">
        <v>534</v>
      </c>
      <c r="I516" s="2">
        <v>1</v>
      </c>
      <c r="J516" s="2">
        <v>318</v>
      </c>
      <c r="K516" s="2">
        <v>0</v>
      </c>
      <c r="L516" s="2">
        <v>0</v>
      </c>
      <c r="M516" s="2">
        <v>318</v>
      </c>
      <c r="N516" s="2" t="s">
        <v>50</v>
      </c>
      <c r="O516" s="2">
        <v>5</v>
      </c>
      <c r="P516" s="2" t="s">
        <v>24</v>
      </c>
    </row>
    <row r="517" spans="1:16" x14ac:dyDescent="0.25">
      <c r="A517" s="4">
        <v>45254</v>
      </c>
      <c r="B517" s="2" t="s">
        <v>946</v>
      </c>
      <c r="C517" s="2" t="s">
        <v>373</v>
      </c>
      <c r="D517" t="s">
        <v>41</v>
      </c>
      <c r="E517" s="2" t="s">
        <v>19</v>
      </c>
      <c r="F517" s="2" t="s">
        <v>61</v>
      </c>
      <c r="G517" s="2" t="s">
        <v>200</v>
      </c>
      <c r="H517" s="2" t="s">
        <v>226</v>
      </c>
      <c r="I517" s="2">
        <v>1</v>
      </c>
      <c r="J517" s="2">
        <v>1557</v>
      </c>
      <c r="K517" s="2">
        <v>15</v>
      </c>
      <c r="L517" s="2">
        <v>233.55</v>
      </c>
      <c r="M517" s="2">
        <v>1323.45</v>
      </c>
      <c r="N517" s="2" t="s">
        <v>44</v>
      </c>
      <c r="O517" s="2">
        <v>4</v>
      </c>
      <c r="P517" s="2" t="s">
        <v>24</v>
      </c>
    </row>
    <row r="518" spans="1:16" x14ac:dyDescent="0.25">
      <c r="A518" s="4">
        <v>45255</v>
      </c>
      <c r="B518" s="2" t="s">
        <v>947</v>
      </c>
      <c r="C518" s="2" t="s">
        <v>548</v>
      </c>
      <c r="D518" t="s">
        <v>59</v>
      </c>
      <c r="E518" s="2" t="s">
        <v>60</v>
      </c>
      <c r="F518" s="2" t="s">
        <v>71</v>
      </c>
      <c r="G518" s="2" t="s">
        <v>76</v>
      </c>
      <c r="H518" s="2" t="s">
        <v>948</v>
      </c>
      <c r="I518" s="2">
        <v>3</v>
      </c>
      <c r="J518" s="2">
        <v>997</v>
      </c>
      <c r="K518" s="2">
        <v>0</v>
      </c>
      <c r="L518" s="2">
        <v>0</v>
      </c>
      <c r="M518" s="2">
        <v>2991</v>
      </c>
      <c r="N518" s="2" t="s">
        <v>44</v>
      </c>
      <c r="O518" s="2">
        <v>2</v>
      </c>
      <c r="P518" s="2" t="s">
        <v>24</v>
      </c>
    </row>
    <row r="519" spans="1:16" x14ac:dyDescent="0.25">
      <c r="A519" s="4">
        <v>45256</v>
      </c>
      <c r="B519" s="2" t="s">
        <v>949</v>
      </c>
      <c r="C519" s="2" t="s">
        <v>417</v>
      </c>
      <c r="D519" t="s">
        <v>174</v>
      </c>
      <c r="E519" s="2" t="s">
        <v>60</v>
      </c>
      <c r="F519" s="2" t="s">
        <v>35</v>
      </c>
      <c r="G519" s="2" t="s">
        <v>130</v>
      </c>
      <c r="H519" s="2" t="s">
        <v>198</v>
      </c>
      <c r="I519" s="2">
        <v>3</v>
      </c>
      <c r="J519" s="2">
        <v>8190</v>
      </c>
      <c r="K519" s="2">
        <v>10</v>
      </c>
      <c r="L519" s="2">
        <v>2457</v>
      </c>
      <c r="M519" s="2">
        <v>22113</v>
      </c>
      <c r="N519" s="2" t="s">
        <v>44</v>
      </c>
      <c r="O519" s="2">
        <v>5</v>
      </c>
      <c r="P519" s="2" t="s">
        <v>24</v>
      </c>
    </row>
    <row r="520" spans="1:16" x14ac:dyDescent="0.25">
      <c r="A520" s="4">
        <v>45257</v>
      </c>
      <c r="B520" s="2" t="s">
        <v>950</v>
      </c>
      <c r="C520" s="2" t="s">
        <v>445</v>
      </c>
      <c r="D520" t="s">
        <v>53</v>
      </c>
      <c r="E520" s="2" t="s">
        <v>53</v>
      </c>
      <c r="F520" s="2" t="s">
        <v>20</v>
      </c>
      <c r="G520" s="2" t="s">
        <v>139</v>
      </c>
      <c r="H520" s="2" t="s">
        <v>327</v>
      </c>
      <c r="I520" s="2">
        <v>1</v>
      </c>
      <c r="J520" s="2">
        <v>5215</v>
      </c>
      <c r="K520" s="2">
        <v>10</v>
      </c>
      <c r="L520" s="2">
        <v>521.5</v>
      </c>
      <c r="M520" s="2">
        <v>4693.5</v>
      </c>
      <c r="N520" s="2" t="s">
        <v>23</v>
      </c>
      <c r="O520" s="2">
        <v>2</v>
      </c>
      <c r="P520" s="2" t="s">
        <v>24</v>
      </c>
    </row>
    <row r="521" spans="1:16" x14ac:dyDescent="0.25">
      <c r="A521" s="4">
        <v>45258</v>
      </c>
      <c r="B521" s="2" t="s">
        <v>951</v>
      </c>
      <c r="C521" s="2" t="s">
        <v>169</v>
      </c>
      <c r="D521" t="s">
        <v>84</v>
      </c>
      <c r="E521" s="2" t="s">
        <v>85</v>
      </c>
      <c r="F521" s="2" t="s">
        <v>20</v>
      </c>
      <c r="G521" s="2" t="s">
        <v>21</v>
      </c>
      <c r="H521" s="2" t="s">
        <v>435</v>
      </c>
      <c r="I521" s="2">
        <v>1</v>
      </c>
      <c r="J521" s="2">
        <v>5075</v>
      </c>
      <c r="K521" s="2">
        <v>5</v>
      </c>
      <c r="L521" s="2">
        <v>253.75</v>
      </c>
      <c r="M521" s="2">
        <v>4821.25</v>
      </c>
      <c r="N521" s="2" t="s">
        <v>23</v>
      </c>
      <c r="O521" s="2">
        <v>1</v>
      </c>
      <c r="P521" s="2" t="s">
        <v>24</v>
      </c>
    </row>
    <row r="522" spans="1:16" x14ac:dyDescent="0.25">
      <c r="A522" s="4">
        <v>45259</v>
      </c>
      <c r="B522" s="2" t="s">
        <v>952</v>
      </c>
      <c r="C522" s="2" t="s">
        <v>268</v>
      </c>
      <c r="D522" t="s">
        <v>53</v>
      </c>
      <c r="E522" s="2" t="s">
        <v>53</v>
      </c>
      <c r="F522" s="2" t="s">
        <v>61</v>
      </c>
      <c r="G522" s="2" t="s">
        <v>150</v>
      </c>
      <c r="H522" s="2" t="s">
        <v>497</v>
      </c>
      <c r="I522" s="2">
        <v>1</v>
      </c>
      <c r="J522" s="2">
        <v>256</v>
      </c>
      <c r="K522" s="2">
        <v>15</v>
      </c>
      <c r="L522" s="2">
        <v>38.4</v>
      </c>
      <c r="M522" s="2">
        <v>217.6</v>
      </c>
      <c r="N522" s="2" t="s">
        <v>50</v>
      </c>
      <c r="O522" s="2">
        <v>2</v>
      </c>
      <c r="P522" s="2" t="s">
        <v>24</v>
      </c>
    </row>
    <row r="523" spans="1:16" x14ac:dyDescent="0.25">
      <c r="A523" s="4">
        <v>45260</v>
      </c>
      <c r="B523" s="2" t="s">
        <v>953</v>
      </c>
      <c r="C523" s="2" t="s">
        <v>954</v>
      </c>
      <c r="D523" t="s">
        <v>18</v>
      </c>
      <c r="E523" s="2" t="s">
        <v>19</v>
      </c>
      <c r="F523" s="2" t="s">
        <v>20</v>
      </c>
      <c r="G523" s="2" t="s">
        <v>42</v>
      </c>
      <c r="H523" s="2" t="s">
        <v>221</v>
      </c>
      <c r="I523" s="2">
        <v>1</v>
      </c>
      <c r="J523" s="2">
        <v>1383</v>
      </c>
      <c r="K523" s="2">
        <v>0</v>
      </c>
      <c r="L523" s="2">
        <v>0</v>
      </c>
      <c r="M523" s="2">
        <v>1383</v>
      </c>
      <c r="N523" s="2" t="s">
        <v>23</v>
      </c>
      <c r="O523" s="2">
        <v>2</v>
      </c>
      <c r="P523" s="2" t="s">
        <v>24</v>
      </c>
    </row>
    <row r="524" spans="1:16" x14ac:dyDescent="0.25">
      <c r="A524" s="4">
        <v>45261</v>
      </c>
      <c r="B524" s="2" t="s">
        <v>955</v>
      </c>
      <c r="C524" s="2" t="s">
        <v>358</v>
      </c>
      <c r="D524" t="s">
        <v>66</v>
      </c>
      <c r="E524" s="2" t="s">
        <v>19</v>
      </c>
      <c r="F524" s="2" t="s">
        <v>28</v>
      </c>
      <c r="G524" s="2" t="s">
        <v>110</v>
      </c>
      <c r="H524" s="2" t="s">
        <v>956</v>
      </c>
      <c r="I524" s="2">
        <v>2</v>
      </c>
      <c r="J524" s="2">
        <v>1561</v>
      </c>
      <c r="K524" s="2">
        <v>0</v>
      </c>
      <c r="L524" s="2">
        <v>0</v>
      </c>
      <c r="M524" s="2">
        <v>3122</v>
      </c>
      <c r="N524" s="2" t="s">
        <v>23</v>
      </c>
      <c r="O524" s="2">
        <v>4</v>
      </c>
      <c r="P524" s="2" t="s">
        <v>24</v>
      </c>
    </row>
    <row r="525" spans="1:16" x14ac:dyDescent="0.25">
      <c r="A525" s="4">
        <v>45262</v>
      </c>
      <c r="B525" s="2" t="s">
        <v>957</v>
      </c>
      <c r="C525" s="2" t="s">
        <v>389</v>
      </c>
      <c r="D525" t="s">
        <v>84</v>
      </c>
      <c r="E525" s="2" t="s">
        <v>85</v>
      </c>
      <c r="F525" s="2" t="s">
        <v>20</v>
      </c>
      <c r="G525" s="2" t="s">
        <v>42</v>
      </c>
      <c r="H525" s="2" t="s">
        <v>278</v>
      </c>
      <c r="I525" s="2">
        <v>1</v>
      </c>
      <c r="J525" s="2">
        <v>2884</v>
      </c>
      <c r="K525" s="2">
        <v>10</v>
      </c>
      <c r="L525" s="2">
        <v>288.39999999999998</v>
      </c>
      <c r="M525" s="2">
        <v>2595.6</v>
      </c>
      <c r="N525" s="2" t="s">
        <v>23</v>
      </c>
      <c r="O525" s="2">
        <v>4</v>
      </c>
      <c r="P525" s="2" t="s">
        <v>24</v>
      </c>
    </row>
    <row r="526" spans="1:16" x14ac:dyDescent="0.25">
      <c r="A526" s="4">
        <v>45263</v>
      </c>
      <c r="B526" s="2" t="s">
        <v>958</v>
      </c>
      <c r="C526" s="2" t="s">
        <v>959</v>
      </c>
      <c r="D526" t="s">
        <v>18</v>
      </c>
      <c r="E526" s="2" t="s">
        <v>19</v>
      </c>
      <c r="F526" s="2" t="s">
        <v>28</v>
      </c>
      <c r="G526" s="2" t="s">
        <v>90</v>
      </c>
      <c r="H526" s="2" t="s">
        <v>91</v>
      </c>
      <c r="I526" s="2">
        <v>1</v>
      </c>
      <c r="J526" s="2">
        <v>4252</v>
      </c>
      <c r="K526" s="2">
        <v>5</v>
      </c>
      <c r="L526" s="2">
        <v>212.6</v>
      </c>
      <c r="M526" s="2">
        <v>4039.4</v>
      </c>
      <c r="N526" s="2" t="s">
        <v>23</v>
      </c>
      <c r="O526" s="2">
        <v>4</v>
      </c>
      <c r="P526" s="2" t="s">
        <v>24</v>
      </c>
    </row>
    <row r="527" spans="1:16" x14ac:dyDescent="0.25">
      <c r="A527" s="4">
        <v>45264</v>
      </c>
      <c r="B527" s="2" t="s">
        <v>960</v>
      </c>
      <c r="C527" s="2" t="s">
        <v>261</v>
      </c>
      <c r="D527" t="s">
        <v>66</v>
      </c>
      <c r="E527" s="2" t="s">
        <v>19</v>
      </c>
      <c r="F527" s="2" t="s">
        <v>20</v>
      </c>
      <c r="G527" s="2" t="s">
        <v>42</v>
      </c>
      <c r="H527" s="2" t="s">
        <v>133</v>
      </c>
      <c r="I527" s="2">
        <v>1</v>
      </c>
      <c r="J527" s="2">
        <v>1312</v>
      </c>
      <c r="K527" s="2">
        <v>0</v>
      </c>
      <c r="L527" s="2">
        <v>0</v>
      </c>
      <c r="M527" s="2">
        <v>1312</v>
      </c>
      <c r="N527" s="2" t="s">
        <v>23</v>
      </c>
      <c r="O527" s="2">
        <v>4</v>
      </c>
      <c r="P527" s="2" t="s">
        <v>24</v>
      </c>
    </row>
    <row r="528" spans="1:16" x14ac:dyDescent="0.25">
      <c r="A528" s="4">
        <v>45265</v>
      </c>
      <c r="B528" s="2" t="s">
        <v>961</v>
      </c>
      <c r="C528" s="2" t="s">
        <v>233</v>
      </c>
      <c r="D528" t="s">
        <v>41</v>
      </c>
      <c r="E528" s="2" t="s">
        <v>19</v>
      </c>
      <c r="F528" s="2" t="s">
        <v>71</v>
      </c>
      <c r="G528" s="2" t="s">
        <v>76</v>
      </c>
      <c r="H528" s="2" t="s">
        <v>402</v>
      </c>
      <c r="I528" s="2">
        <v>3</v>
      </c>
      <c r="J528" s="2">
        <v>419</v>
      </c>
      <c r="K528" s="2">
        <v>5</v>
      </c>
      <c r="L528" s="2">
        <v>62.85</v>
      </c>
      <c r="M528" s="2">
        <v>1194.1500000000001</v>
      </c>
      <c r="N528" s="2" t="s">
        <v>23</v>
      </c>
      <c r="O528" s="2">
        <v>3</v>
      </c>
      <c r="P528" s="2" t="s">
        <v>24</v>
      </c>
    </row>
    <row r="529" spans="1:16" x14ac:dyDescent="0.25">
      <c r="A529" s="4">
        <v>45266</v>
      </c>
      <c r="B529" s="2" t="s">
        <v>962</v>
      </c>
      <c r="C529" s="2" t="s">
        <v>963</v>
      </c>
      <c r="D529" t="s">
        <v>47</v>
      </c>
      <c r="E529" s="2" t="s">
        <v>48</v>
      </c>
      <c r="F529" s="2" t="s">
        <v>35</v>
      </c>
      <c r="G529" s="2" t="s">
        <v>130</v>
      </c>
      <c r="H529" s="2" t="s">
        <v>247</v>
      </c>
      <c r="I529" s="2">
        <v>1</v>
      </c>
      <c r="J529" s="2">
        <v>39188</v>
      </c>
      <c r="K529" s="2">
        <v>0</v>
      </c>
      <c r="L529" s="2">
        <v>0</v>
      </c>
      <c r="M529" s="2">
        <v>39188</v>
      </c>
      <c r="N529" s="2" t="s">
        <v>50</v>
      </c>
      <c r="O529" s="2">
        <v>3</v>
      </c>
      <c r="P529" s="2" t="s">
        <v>24</v>
      </c>
    </row>
    <row r="530" spans="1:16" x14ac:dyDescent="0.25">
      <c r="A530" s="4">
        <v>45267</v>
      </c>
      <c r="B530" s="2" t="s">
        <v>964</v>
      </c>
      <c r="C530" s="2" t="s">
        <v>796</v>
      </c>
      <c r="D530" t="s">
        <v>84</v>
      </c>
      <c r="E530" s="2" t="s">
        <v>85</v>
      </c>
      <c r="F530" s="2" t="s">
        <v>71</v>
      </c>
      <c r="G530" s="2" t="s">
        <v>114</v>
      </c>
      <c r="H530" s="2" t="s">
        <v>178</v>
      </c>
      <c r="I530" s="2">
        <v>3</v>
      </c>
      <c r="J530" s="2">
        <v>1215</v>
      </c>
      <c r="K530" s="2">
        <v>0</v>
      </c>
      <c r="L530" s="2">
        <v>0</v>
      </c>
      <c r="M530" s="2">
        <v>3645</v>
      </c>
      <c r="N530" s="2" t="s">
        <v>44</v>
      </c>
      <c r="O530" s="2">
        <v>5</v>
      </c>
      <c r="P530" s="2" t="s">
        <v>24</v>
      </c>
    </row>
    <row r="531" spans="1:16" x14ac:dyDescent="0.25">
      <c r="A531" s="4">
        <v>45268</v>
      </c>
      <c r="B531" s="2" t="s">
        <v>965</v>
      </c>
      <c r="C531" s="2" t="s">
        <v>528</v>
      </c>
      <c r="D531" t="s">
        <v>27</v>
      </c>
      <c r="E531" s="2" t="s">
        <v>19</v>
      </c>
      <c r="F531" s="2" t="s">
        <v>71</v>
      </c>
      <c r="G531" s="2" t="s">
        <v>106</v>
      </c>
      <c r="H531" s="2" t="s">
        <v>346</v>
      </c>
      <c r="I531" s="2">
        <v>1</v>
      </c>
      <c r="J531" s="2">
        <v>866</v>
      </c>
      <c r="K531" s="2">
        <v>0</v>
      </c>
      <c r="L531" s="2">
        <v>0</v>
      </c>
      <c r="M531" s="2">
        <v>866</v>
      </c>
      <c r="N531" s="2" t="s">
        <v>44</v>
      </c>
      <c r="O531" s="2">
        <v>4</v>
      </c>
      <c r="P531" s="2" t="s">
        <v>24</v>
      </c>
    </row>
    <row r="532" spans="1:16" x14ac:dyDescent="0.25">
      <c r="A532" s="4">
        <v>45269</v>
      </c>
      <c r="B532" s="2" t="s">
        <v>966</v>
      </c>
      <c r="C532" s="2" t="s">
        <v>163</v>
      </c>
      <c r="D532" t="s">
        <v>33</v>
      </c>
      <c r="E532" s="2" t="s">
        <v>34</v>
      </c>
      <c r="F532" s="2" t="s">
        <v>20</v>
      </c>
      <c r="G532" s="2" t="s">
        <v>170</v>
      </c>
      <c r="H532" s="2" t="s">
        <v>469</v>
      </c>
      <c r="I532" s="2">
        <v>2</v>
      </c>
      <c r="J532" s="2">
        <v>3241</v>
      </c>
      <c r="K532" s="2">
        <v>15</v>
      </c>
      <c r="L532" s="2">
        <v>972.3</v>
      </c>
      <c r="M532" s="2">
        <v>5509.7</v>
      </c>
      <c r="N532" s="2" t="s">
        <v>50</v>
      </c>
      <c r="O532" s="2">
        <v>2</v>
      </c>
      <c r="P532" s="2" t="s">
        <v>24</v>
      </c>
    </row>
    <row r="533" spans="1:16" x14ac:dyDescent="0.25">
      <c r="A533" s="4">
        <v>45270</v>
      </c>
      <c r="B533" s="2" t="s">
        <v>967</v>
      </c>
      <c r="C533" s="2" t="s">
        <v>411</v>
      </c>
      <c r="D533" t="s">
        <v>84</v>
      </c>
      <c r="E533" s="2" t="s">
        <v>85</v>
      </c>
      <c r="F533" s="2" t="s">
        <v>71</v>
      </c>
      <c r="G533" s="2" t="s">
        <v>86</v>
      </c>
      <c r="H533" s="2" t="s">
        <v>87</v>
      </c>
      <c r="I533" s="2">
        <v>1</v>
      </c>
      <c r="J533" s="2">
        <v>939</v>
      </c>
      <c r="K533" s="2">
        <v>10</v>
      </c>
      <c r="L533" s="2">
        <v>93.9</v>
      </c>
      <c r="M533" s="2">
        <v>845.1</v>
      </c>
      <c r="N533" s="2" t="s">
        <v>23</v>
      </c>
      <c r="O533" s="2">
        <v>3</v>
      </c>
      <c r="P533" s="2" t="s">
        <v>24</v>
      </c>
    </row>
    <row r="534" spans="1:16" x14ac:dyDescent="0.25">
      <c r="A534" s="4">
        <v>45271</v>
      </c>
      <c r="B534" s="2" t="s">
        <v>968</v>
      </c>
      <c r="C534" s="2" t="s">
        <v>641</v>
      </c>
      <c r="D534" t="s">
        <v>174</v>
      </c>
      <c r="E534" s="2" t="s">
        <v>60</v>
      </c>
      <c r="F534" s="2" t="s">
        <v>61</v>
      </c>
      <c r="G534" s="2" t="s">
        <v>250</v>
      </c>
      <c r="H534" s="2" t="s">
        <v>504</v>
      </c>
      <c r="I534" s="2">
        <v>1</v>
      </c>
      <c r="J534" s="2">
        <v>1791</v>
      </c>
      <c r="K534" s="2">
        <v>5</v>
      </c>
      <c r="L534" s="2">
        <v>89.55</v>
      </c>
      <c r="M534" s="2">
        <v>1701.45</v>
      </c>
      <c r="N534" s="2" t="s">
        <v>38</v>
      </c>
      <c r="O534" s="2">
        <v>3</v>
      </c>
      <c r="P534" s="2" t="s">
        <v>24</v>
      </c>
    </row>
    <row r="535" spans="1:16" x14ac:dyDescent="0.25">
      <c r="A535" s="4">
        <v>45272</v>
      </c>
      <c r="B535" s="2" t="s">
        <v>969</v>
      </c>
      <c r="C535" s="2" t="s">
        <v>100</v>
      </c>
      <c r="D535" t="s">
        <v>27</v>
      </c>
      <c r="E535" s="2" t="s">
        <v>19</v>
      </c>
      <c r="F535" s="2" t="s">
        <v>61</v>
      </c>
      <c r="G535" s="2" t="s">
        <v>200</v>
      </c>
      <c r="H535" s="2" t="s">
        <v>473</v>
      </c>
      <c r="I535" s="2">
        <v>1</v>
      </c>
      <c r="J535" s="2">
        <v>370</v>
      </c>
      <c r="K535" s="2">
        <v>5</v>
      </c>
      <c r="L535" s="2">
        <v>18.5</v>
      </c>
      <c r="M535" s="2">
        <v>351.5</v>
      </c>
      <c r="N535" s="2" t="s">
        <v>23</v>
      </c>
      <c r="O535" s="2">
        <v>3</v>
      </c>
      <c r="P535" s="2" t="s">
        <v>24</v>
      </c>
    </row>
    <row r="536" spans="1:16" x14ac:dyDescent="0.25">
      <c r="A536" s="4">
        <v>45273</v>
      </c>
      <c r="B536" s="2" t="s">
        <v>970</v>
      </c>
      <c r="C536" s="2" t="s">
        <v>971</v>
      </c>
      <c r="D536" t="s">
        <v>47</v>
      </c>
      <c r="E536" s="2" t="s">
        <v>48</v>
      </c>
      <c r="F536" s="2" t="s">
        <v>20</v>
      </c>
      <c r="G536" s="2" t="s">
        <v>42</v>
      </c>
      <c r="H536" s="2" t="s">
        <v>195</v>
      </c>
      <c r="I536" s="2">
        <v>2</v>
      </c>
      <c r="J536" s="2">
        <v>6366</v>
      </c>
      <c r="K536" s="2">
        <v>0</v>
      </c>
      <c r="L536" s="2">
        <v>0</v>
      </c>
      <c r="M536" s="2">
        <v>12732</v>
      </c>
      <c r="N536" s="2" t="s">
        <v>23</v>
      </c>
      <c r="O536" s="2">
        <v>2</v>
      </c>
      <c r="P536" s="2" t="s">
        <v>24</v>
      </c>
    </row>
    <row r="537" spans="1:16" x14ac:dyDescent="0.25">
      <c r="A537" s="4">
        <v>45274</v>
      </c>
      <c r="B537" s="2" t="s">
        <v>972</v>
      </c>
      <c r="C537" s="2" t="s">
        <v>211</v>
      </c>
      <c r="D537" t="s">
        <v>84</v>
      </c>
      <c r="E537" s="2" t="s">
        <v>85</v>
      </c>
      <c r="F537" s="2" t="s">
        <v>20</v>
      </c>
      <c r="G537" s="2" t="s">
        <v>42</v>
      </c>
      <c r="H537" s="2" t="s">
        <v>133</v>
      </c>
      <c r="I537" s="2">
        <v>2</v>
      </c>
      <c r="J537" s="2">
        <v>3096</v>
      </c>
      <c r="K537" s="2">
        <v>0</v>
      </c>
      <c r="L537" s="2">
        <v>0</v>
      </c>
      <c r="M537" s="2">
        <v>6192</v>
      </c>
      <c r="N537" s="2" t="s">
        <v>23</v>
      </c>
      <c r="O537" s="2">
        <v>5</v>
      </c>
      <c r="P537" s="2" t="s">
        <v>24</v>
      </c>
    </row>
    <row r="538" spans="1:16" x14ac:dyDescent="0.25">
      <c r="A538" s="4">
        <v>45275</v>
      </c>
      <c r="B538" s="2" t="s">
        <v>973</v>
      </c>
      <c r="C538" s="2" t="s">
        <v>255</v>
      </c>
      <c r="D538" t="s">
        <v>59</v>
      </c>
      <c r="E538" s="2" t="s">
        <v>60</v>
      </c>
      <c r="F538" s="2" t="s">
        <v>71</v>
      </c>
      <c r="G538" s="2" t="s">
        <v>114</v>
      </c>
      <c r="H538" s="2" t="s">
        <v>304</v>
      </c>
      <c r="I538" s="2">
        <v>1</v>
      </c>
      <c r="J538" s="2">
        <v>992</v>
      </c>
      <c r="K538" s="2">
        <v>10</v>
      </c>
      <c r="L538" s="2">
        <v>99.2</v>
      </c>
      <c r="M538" s="2">
        <v>892.8</v>
      </c>
      <c r="N538" s="2" t="s">
        <v>44</v>
      </c>
      <c r="O538" s="2">
        <v>6</v>
      </c>
      <c r="P538" s="2" t="s">
        <v>24</v>
      </c>
    </row>
    <row r="539" spans="1:16" x14ac:dyDescent="0.25">
      <c r="A539" s="4">
        <v>45276</v>
      </c>
      <c r="B539" s="2" t="s">
        <v>974</v>
      </c>
      <c r="C539" s="2" t="s">
        <v>220</v>
      </c>
      <c r="D539" t="s">
        <v>41</v>
      </c>
      <c r="E539" s="2" t="s">
        <v>19</v>
      </c>
      <c r="F539" s="2" t="s">
        <v>71</v>
      </c>
      <c r="G539" s="2" t="s">
        <v>72</v>
      </c>
      <c r="H539" s="2" t="s">
        <v>159</v>
      </c>
      <c r="I539" s="2">
        <v>2</v>
      </c>
      <c r="J539" s="2">
        <v>440</v>
      </c>
      <c r="K539" s="2">
        <v>0</v>
      </c>
      <c r="L539" s="2">
        <v>0</v>
      </c>
      <c r="M539" s="2">
        <v>880</v>
      </c>
      <c r="N539" s="2" t="s">
        <v>23</v>
      </c>
      <c r="O539" s="2">
        <v>5</v>
      </c>
      <c r="P539" s="2" t="s">
        <v>24</v>
      </c>
    </row>
    <row r="540" spans="1:16" x14ac:dyDescent="0.25">
      <c r="A540" s="4">
        <v>45277</v>
      </c>
      <c r="B540" s="2" t="s">
        <v>975</v>
      </c>
      <c r="C540" s="2" t="s">
        <v>655</v>
      </c>
      <c r="D540" t="s">
        <v>66</v>
      </c>
      <c r="E540" s="2" t="s">
        <v>19</v>
      </c>
      <c r="F540" s="2" t="s">
        <v>28</v>
      </c>
      <c r="G540" s="2" t="s">
        <v>90</v>
      </c>
      <c r="H540" s="2" t="s">
        <v>103</v>
      </c>
      <c r="I540" s="2">
        <v>2</v>
      </c>
      <c r="J540" s="2">
        <v>1963</v>
      </c>
      <c r="K540" s="2">
        <v>0</v>
      </c>
      <c r="L540" s="2">
        <v>0</v>
      </c>
      <c r="M540" s="2">
        <v>3926</v>
      </c>
      <c r="N540" s="2" t="s">
        <v>50</v>
      </c>
      <c r="O540" s="2">
        <v>1</v>
      </c>
      <c r="P540" s="2" t="s">
        <v>24</v>
      </c>
    </row>
    <row r="541" spans="1:16" x14ac:dyDescent="0.25">
      <c r="A541" s="4">
        <v>45278</v>
      </c>
      <c r="B541" s="2" t="s">
        <v>976</v>
      </c>
      <c r="C541" s="2" t="s">
        <v>977</v>
      </c>
      <c r="D541" t="s">
        <v>66</v>
      </c>
      <c r="E541" s="2" t="s">
        <v>19</v>
      </c>
      <c r="F541" s="2" t="s">
        <v>61</v>
      </c>
      <c r="G541" s="2" t="s">
        <v>262</v>
      </c>
      <c r="H541" s="2" t="s">
        <v>755</v>
      </c>
      <c r="I541" s="2">
        <v>1</v>
      </c>
      <c r="J541" s="2">
        <v>1848</v>
      </c>
      <c r="K541" s="2">
        <v>0</v>
      </c>
      <c r="L541" s="2">
        <v>0</v>
      </c>
      <c r="M541" s="2">
        <v>1848</v>
      </c>
      <c r="N541" s="2" t="s">
        <v>23</v>
      </c>
      <c r="O541" s="2">
        <v>3</v>
      </c>
      <c r="P541" s="2" t="s">
        <v>24</v>
      </c>
    </row>
    <row r="542" spans="1:16" x14ac:dyDescent="0.25">
      <c r="A542" s="4">
        <v>45279</v>
      </c>
      <c r="B542" s="2" t="s">
        <v>978</v>
      </c>
      <c r="C542" s="2" t="s">
        <v>804</v>
      </c>
      <c r="D542" t="s">
        <v>66</v>
      </c>
      <c r="E542" s="2" t="s">
        <v>19</v>
      </c>
      <c r="F542" s="2" t="s">
        <v>71</v>
      </c>
      <c r="G542" s="2" t="s">
        <v>86</v>
      </c>
      <c r="H542" s="2" t="s">
        <v>616</v>
      </c>
      <c r="I542" s="2">
        <v>3</v>
      </c>
      <c r="J542" s="2">
        <v>1101</v>
      </c>
      <c r="K542" s="2">
        <v>5</v>
      </c>
      <c r="L542" s="2">
        <v>165.15</v>
      </c>
      <c r="M542" s="2">
        <v>3137.85</v>
      </c>
      <c r="N542" s="2" t="s">
        <v>56</v>
      </c>
      <c r="O542" s="2">
        <v>3</v>
      </c>
      <c r="P542" s="2" t="s">
        <v>24</v>
      </c>
    </row>
    <row r="543" spans="1:16" x14ac:dyDescent="0.25">
      <c r="A543" s="4">
        <v>45280</v>
      </c>
      <c r="B543" s="2" t="s">
        <v>979</v>
      </c>
      <c r="C543" s="2" t="s">
        <v>980</v>
      </c>
      <c r="D543" t="s">
        <v>18</v>
      </c>
      <c r="E543" s="2" t="s">
        <v>19</v>
      </c>
      <c r="F543" s="2" t="s">
        <v>71</v>
      </c>
      <c r="G543" s="2" t="s">
        <v>114</v>
      </c>
      <c r="H543" s="2" t="s">
        <v>543</v>
      </c>
      <c r="I543" s="2">
        <v>1</v>
      </c>
      <c r="J543" s="2">
        <v>1377</v>
      </c>
      <c r="K543" s="2">
        <v>5</v>
      </c>
      <c r="L543" s="2">
        <v>68.849999999999994</v>
      </c>
      <c r="M543" s="2">
        <v>1308.1500000000001</v>
      </c>
      <c r="N543" s="2" t="s">
        <v>50</v>
      </c>
      <c r="O543" s="2">
        <v>2</v>
      </c>
      <c r="P543" s="2" t="s">
        <v>24</v>
      </c>
    </row>
    <row r="544" spans="1:16" x14ac:dyDescent="0.25">
      <c r="A544" s="4">
        <v>45281</v>
      </c>
      <c r="B544" s="2" t="s">
        <v>981</v>
      </c>
      <c r="C544" s="2" t="s">
        <v>407</v>
      </c>
      <c r="D544" t="s">
        <v>66</v>
      </c>
      <c r="E544" s="2" t="s">
        <v>19</v>
      </c>
      <c r="F544" s="2" t="s">
        <v>61</v>
      </c>
      <c r="G544" s="2" t="s">
        <v>262</v>
      </c>
      <c r="H544" s="2" t="s">
        <v>767</v>
      </c>
      <c r="I544" s="2">
        <v>1</v>
      </c>
      <c r="J544" s="2">
        <v>1047</v>
      </c>
      <c r="K544" s="2">
        <v>5</v>
      </c>
      <c r="L544" s="2">
        <v>52.35</v>
      </c>
      <c r="M544" s="2">
        <v>994.65</v>
      </c>
      <c r="N544" s="2" t="s">
        <v>56</v>
      </c>
      <c r="O544" s="2">
        <v>3</v>
      </c>
      <c r="P544" s="2" t="s">
        <v>24</v>
      </c>
    </row>
    <row r="545" spans="1:16" x14ac:dyDescent="0.25">
      <c r="A545" s="4">
        <v>45282</v>
      </c>
      <c r="B545" s="2" t="s">
        <v>982</v>
      </c>
      <c r="C545" s="2" t="s">
        <v>821</v>
      </c>
      <c r="D545" t="s">
        <v>174</v>
      </c>
      <c r="E545" s="2" t="s">
        <v>60</v>
      </c>
      <c r="F545" s="2" t="s">
        <v>20</v>
      </c>
      <c r="G545" s="2" t="s">
        <v>170</v>
      </c>
      <c r="H545" s="2" t="s">
        <v>469</v>
      </c>
      <c r="I545" s="2">
        <v>2</v>
      </c>
      <c r="J545" s="2">
        <v>6851</v>
      </c>
      <c r="K545" s="2">
        <v>10</v>
      </c>
      <c r="L545" s="2">
        <v>1370.2</v>
      </c>
      <c r="M545" s="2">
        <v>12331.8</v>
      </c>
      <c r="N545" s="2" t="s">
        <v>23</v>
      </c>
      <c r="O545" s="2">
        <v>3</v>
      </c>
      <c r="P545" s="2" t="s">
        <v>24</v>
      </c>
    </row>
    <row r="546" spans="1:16" x14ac:dyDescent="0.25">
      <c r="A546" s="4">
        <v>45283</v>
      </c>
      <c r="B546" s="2" t="s">
        <v>983</v>
      </c>
      <c r="C546" s="2" t="s">
        <v>381</v>
      </c>
      <c r="D546" t="s">
        <v>174</v>
      </c>
      <c r="E546" s="2" t="s">
        <v>60</v>
      </c>
      <c r="F546" s="2" t="s">
        <v>28</v>
      </c>
      <c r="G546" s="2" t="s">
        <v>90</v>
      </c>
      <c r="H546" s="2" t="s">
        <v>333</v>
      </c>
      <c r="I546" s="2">
        <v>1</v>
      </c>
      <c r="J546" s="2">
        <v>3807</v>
      </c>
      <c r="K546" s="2">
        <v>0</v>
      </c>
      <c r="L546" s="2">
        <v>0</v>
      </c>
      <c r="M546" s="2">
        <v>3807</v>
      </c>
      <c r="N546" s="2" t="s">
        <v>23</v>
      </c>
      <c r="O546" s="2">
        <v>1</v>
      </c>
      <c r="P546" s="2" t="s">
        <v>24</v>
      </c>
    </row>
    <row r="547" spans="1:16" x14ac:dyDescent="0.25">
      <c r="A547" s="4">
        <v>45284</v>
      </c>
      <c r="B547" s="2" t="s">
        <v>984</v>
      </c>
      <c r="C547" s="2" t="s">
        <v>326</v>
      </c>
      <c r="D547" t="s">
        <v>174</v>
      </c>
      <c r="E547" s="2" t="s">
        <v>60</v>
      </c>
      <c r="F547" s="2" t="s">
        <v>71</v>
      </c>
      <c r="G547" s="2" t="s">
        <v>114</v>
      </c>
      <c r="H547" s="2" t="s">
        <v>304</v>
      </c>
      <c r="I547" s="2">
        <v>1</v>
      </c>
      <c r="J547" s="2">
        <v>508</v>
      </c>
      <c r="K547" s="2">
        <v>5</v>
      </c>
      <c r="L547" s="2">
        <v>25.4</v>
      </c>
      <c r="M547" s="2">
        <v>482.6</v>
      </c>
      <c r="N547" s="2" t="s">
        <v>38</v>
      </c>
      <c r="O547" s="2">
        <v>3</v>
      </c>
      <c r="P547" s="2" t="s">
        <v>24</v>
      </c>
    </row>
    <row r="548" spans="1:16" x14ac:dyDescent="0.25">
      <c r="A548" s="4">
        <v>45285</v>
      </c>
      <c r="B548" s="2" t="s">
        <v>985</v>
      </c>
      <c r="C548" s="2" t="s">
        <v>52</v>
      </c>
      <c r="D548" t="s">
        <v>84</v>
      </c>
      <c r="E548" s="2" t="s">
        <v>85</v>
      </c>
      <c r="F548" s="2" t="s">
        <v>28</v>
      </c>
      <c r="G548" s="2" t="s">
        <v>29</v>
      </c>
      <c r="H548" s="2" t="s">
        <v>477</v>
      </c>
      <c r="I548" s="2">
        <v>1</v>
      </c>
      <c r="J548" s="2">
        <v>3986</v>
      </c>
      <c r="K548" s="2">
        <v>20</v>
      </c>
      <c r="L548" s="2">
        <v>797.2</v>
      </c>
      <c r="M548" s="2">
        <v>3188.8</v>
      </c>
      <c r="N548" s="2" t="s">
        <v>44</v>
      </c>
      <c r="O548" s="2">
        <v>4</v>
      </c>
      <c r="P548" s="2" t="s">
        <v>24</v>
      </c>
    </row>
    <row r="549" spans="1:16" x14ac:dyDescent="0.25">
      <c r="A549" s="4">
        <v>45286</v>
      </c>
      <c r="B549" s="2" t="s">
        <v>986</v>
      </c>
      <c r="C549" s="2" t="s">
        <v>660</v>
      </c>
      <c r="D549" t="s">
        <v>18</v>
      </c>
      <c r="E549" s="2" t="s">
        <v>19</v>
      </c>
      <c r="F549" s="2" t="s">
        <v>71</v>
      </c>
      <c r="G549" s="2" t="s">
        <v>114</v>
      </c>
      <c r="H549" s="2" t="s">
        <v>245</v>
      </c>
      <c r="I549" s="2">
        <v>1</v>
      </c>
      <c r="J549" s="2">
        <v>648</v>
      </c>
      <c r="K549" s="2">
        <v>10</v>
      </c>
      <c r="L549" s="2">
        <v>64.8</v>
      </c>
      <c r="M549" s="2">
        <v>583.20000000000005</v>
      </c>
      <c r="N549" s="2" t="s">
        <v>44</v>
      </c>
      <c r="O549" s="2">
        <v>3</v>
      </c>
      <c r="P549" s="2" t="s">
        <v>24</v>
      </c>
    </row>
    <row r="550" spans="1:16" x14ac:dyDescent="0.25">
      <c r="A550" s="4">
        <v>45287</v>
      </c>
      <c r="B550" s="2" t="s">
        <v>987</v>
      </c>
      <c r="C550" s="2" t="s">
        <v>871</v>
      </c>
      <c r="D550" t="s">
        <v>47</v>
      </c>
      <c r="E550" s="2" t="s">
        <v>48</v>
      </c>
      <c r="F550" s="2" t="s">
        <v>28</v>
      </c>
      <c r="G550" s="2" t="s">
        <v>110</v>
      </c>
      <c r="H550" s="2" t="s">
        <v>317</v>
      </c>
      <c r="I550" s="2">
        <v>1</v>
      </c>
      <c r="J550" s="2">
        <v>453</v>
      </c>
      <c r="K550" s="2">
        <v>5</v>
      </c>
      <c r="L550" s="2">
        <v>22.65</v>
      </c>
      <c r="M550" s="2">
        <v>430.35</v>
      </c>
      <c r="N550" s="2" t="s">
        <v>50</v>
      </c>
      <c r="O550" s="2">
        <v>1</v>
      </c>
      <c r="P550" s="2" t="s">
        <v>24</v>
      </c>
    </row>
    <row r="551" spans="1:16" x14ac:dyDescent="0.25">
      <c r="A551" s="4">
        <v>45288</v>
      </c>
      <c r="B551" s="2" t="s">
        <v>988</v>
      </c>
      <c r="C551" s="2" t="s">
        <v>804</v>
      </c>
      <c r="D551" t="s">
        <v>47</v>
      </c>
      <c r="E551" s="2" t="s">
        <v>48</v>
      </c>
      <c r="F551" s="2" t="s">
        <v>28</v>
      </c>
      <c r="G551" s="2" t="s">
        <v>90</v>
      </c>
      <c r="H551" s="2" t="s">
        <v>281</v>
      </c>
      <c r="I551" s="2">
        <v>1</v>
      </c>
      <c r="J551" s="2">
        <v>1530</v>
      </c>
      <c r="K551" s="2">
        <v>15</v>
      </c>
      <c r="L551" s="2">
        <v>229.5</v>
      </c>
      <c r="M551" s="2">
        <v>1300.5</v>
      </c>
      <c r="N551" s="2" t="s">
        <v>44</v>
      </c>
      <c r="O551" s="2">
        <v>6</v>
      </c>
      <c r="P551" s="2" t="s">
        <v>24</v>
      </c>
    </row>
    <row r="552" spans="1:16" x14ac:dyDescent="0.25">
      <c r="A552" s="4">
        <v>45289</v>
      </c>
      <c r="B552" s="2" t="s">
        <v>989</v>
      </c>
      <c r="C552" s="2" t="s">
        <v>187</v>
      </c>
      <c r="D552" t="s">
        <v>18</v>
      </c>
      <c r="E552" s="2" t="s">
        <v>19</v>
      </c>
      <c r="F552" s="2" t="s">
        <v>61</v>
      </c>
      <c r="G552" s="2" t="s">
        <v>62</v>
      </c>
      <c r="H552" s="2" t="s">
        <v>534</v>
      </c>
      <c r="I552" s="2">
        <v>2</v>
      </c>
      <c r="J552" s="2">
        <v>842</v>
      </c>
      <c r="K552" s="2">
        <v>5</v>
      </c>
      <c r="L552" s="2">
        <v>84.2</v>
      </c>
      <c r="M552" s="2">
        <v>1599.8</v>
      </c>
      <c r="N552" s="2" t="s">
        <v>44</v>
      </c>
      <c r="O552" s="2">
        <v>3</v>
      </c>
      <c r="P552" s="2" t="s">
        <v>24</v>
      </c>
    </row>
    <row r="553" spans="1:16" x14ac:dyDescent="0.25">
      <c r="A553" s="4">
        <v>45290</v>
      </c>
      <c r="B553" s="2" t="s">
        <v>990</v>
      </c>
      <c r="C553" s="2" t="s">
        <v>240</v>
      </c>
      <c r="D553" t="s">
        <v>41</v>
      </c>
      <c r="E553" s="2" t="s">
        <v>19</v>
      </c>
      <c r="F553" s="2" t="s">
        <v>35</v>
      </c>
      <c r="G553" s="2" t="s">
        <v>124</v>
      </c>
      <c r="H553" s="2" t="s">
        <v>689</v>
      </c>
      <c r="I553" s="2">
        <v>1</v>
      </c>
      <c r="J553" s="2">
        <v>36781</v>
      </c>
      <c r="K553" s="2">
        <v>15</v>
      </c>
      <c r="L553" s="2">
        <v>5517.15</v>
      </c>
      <c r="M553" s="2">
        <v>31263.85</v>
      </c>
      <c r="N553" s="2" t="s">
        <v>23</v>
      </c>
      <c r="O553" s="2">
        <v>2</v>
      </c>
      <c r="P553" s="2" t="s">
        <v>24</v>
      </c>
    </row>
    <row r="554" spans="1:16" x14ac:dyDescent="0.25">
      <c r="A554" s="4">
        <v>45291</v>
      </c>
      <c r="B554" s="2" t="s">
        <v>991</v>
      </c>
      <c r="C554" s="2" t="s">
        <v>288</v>
      </c>
      <c r="D554" t="s">
        <v>59</v>
      </c>
      <c r="E554" s="2" t="s">
        <v>60</v>
      </c>
      <c r="F554" s="2" t="s">
        <v>61</v>
      </c>
      <c r="G554" s="2" t="s">
        <v>62</v>
      </c>
      <c r="H554" s="2" t="s">
        <v>414</v>
      </c>
      <c r="I554" s="2">
        <v>1</v>
      </c>
      <c r="J554" s="2">
        <v>1812</v>
      </c>
      <c r="K554" s="2">
        <v>5</v>
      </c>
      <c r="L554" s="2">
        <v>90.6</v>
      </c>
      <c r="M554" s="2">
        <v>1721.4</v>
      </c>
      <c r="N554" s="2" t="s">
        <v>23</v>
      </c>
      <c r="O554" s="2">
        <v>2</v>
      </c>
      <c r="P554" s="2" t="s">
        <v>24</v>
      </c>
    </row>
    <row r="555" spans="1:16" x14ac:dyDescent="0.25">
      <c r="A555" s="4">
        <v>45292</v>
      </c>
      <c r="B555" s="2" t="s">
        <v>992</v>
      </c>
      <c r="C555" s="2" t="s">
        <v>729</v>
      </c>
      <c r="D555" t="s">
        <v>47</v>
      </c>
      <c r="E555" s="2" t="s">
        <v>48</v>
      </c>
      <c r="F555" s="2" t="s">
        <v>61</v>
      </c>
      <c r="G555" s="2" t="s">
        <v>62</v>
      </c>
      <c r="H555" s="2" t="s">
        <v>414</v>
      </c>
      <c r="I555" s="2">
        <v>3</v>
      </c>
      <c r="J555" s="2">
        <v>1197</v>
      </c>
      <c r="K555" s="2">
        <v>5</v>
      </c>
      <c r="L555" s="2">
        <v>179.55</v>
      </c>
      <c r="M555" s="2">
        <v>3411.45</v>
      </c>
      <c r="N555" s="2" t="s">
        <v>23</v>
      </c>
      <c r="O555" s="2">
        <v>3</v>
      </c>
      <c r="P555" s="2" t="s">
        <v>24</v>
      </c>
    </row>
    <row r="556" spans="1:16" x14ac:dyDescent="0.25">
      <c r="A556" s="4">
        <v>45293</v>
      </c>
      <c r="B556" s="2" t="s">
        <v>993</v>
      </c>
      <c r="C556" s="2" t="s">
        <v>169</v>
      </c>
      <c r="D556" t="s">
        <v>27</v>
      </c>
      <c r="E556" s="2" t="s">
        <v>19</v>
      </c>
      <c r="F556" s="2" t="s">
        <v>71</v>
      </c>
      <c r="G556" s="2" t="s">
        <v>72</v>
      </c>
      <c r="H556" s="2" t="s">
        <v>266</v>
      </c>
      <c r="I556" s="2">
        <v>2</v>
      </c>
      <c r="J556" s="2">
        <v>172</v>
      </c>
      <c r="K556" s="2">
        <v>15</v>
      </c>
      <c r="L556" s="2">
        <v>51.6</v>
      </c>
      <c r="M556" s="2">
        <v>292.39999999999998</v>
      </c>
      <c r="N556" s="2" t="s">
        <v>23</v>
      </c>
      <c r="O556" s="2">
        <v>3</v>
      </c>
      <c r="P556" s="2" t="s">
        <v>24</v>
      </c>
    </row>
    <row r="557" spans="1:16" x14ac:dyDescent="0.25">
      <c r="A557" s="4">
        <v>45294</v>
      </c>
      <c r="B557" s="2" t="s">
        <v>994</v>
      </c>
      <c r="C557" s="2" t="s">
        <v>452</v>
      </c>
      <c r="D557" t="s">
        <v>33</v>
      </c>
      <c r="E557" s="2" t="s">
        <v>34</v>
      </c>
      <c r="F557" s="2" t="s">
        <v>61</v>
      </c>
      <c r="G557" s="2" t="s">
        <v>200</v>
      </c>
      <c r="H557" s="2" t="s">
        <v>473</v>
      </c>
      <c r="I557" s="2">
        <v>2</v>
      </c>
      <c r="J557" s="2">
        <v>1799</v>
      </c>
      <c r="K557" s="2">
        <v>5</v>
      </c>
      <c r="L557" s="2">
        <v>179.9</v>
      </c>
      <c r="M557" s="2">
        <v>3418.1</v>
      </c>
      <c r="N557" s="2" t="s">
        <v>44</v>
      </c>
      <c r="O557" s="2">
        <v>4</v>
      </c>
      <c r="P557" s="2" t="s">
        <v>24</v>
      </c>
    </row>
    <row r="558" spans="1:16" x14ac:dyDescent="0.25">
      <c r="A558" s="4">
        <v>45295</v>
      </c>
      <c r="B558" s="2" t="s">
        <v>995</v>
      </c>
      <c r="C558" s="2" t="s">
        <v>996</v>
      </c>
      <c r="D558" t="s">
        <v>47</v>
      </c>
      <c r="E558" s="2" t="s">
        <v>48</v>
      </c>
      <c r="F558" s="2" t="s">
        <v>20</v>
      </c>
      <c r="G558" s="2" t="s">
        <v>139</v>
      </c>
      <c r="H558" s="2" t="s">
        <v>646</v>
      </c>
      <c r="I558" s="2">
        <v>1</v>
      </c>
      <c r="J558" s="2">
        <v>6341</v>
      </c>
      <c r="K558" s="2">
        <v>5</v>
      </c>
      <c r="L558" s="2">
        <v>317.05</v>
      </c>
      <c r="M558" s="2">
        <v>6023.95</v>
      </c>
      <c r="N558" s="2" t="s">
        <v>56</v>
      </c>
      <c r="O558" s="2">
        <v>4</v>
      </c>
      <c r="P558" s="2" t="s">
        <v>24</v>
      </c>
    </row>
    <row r="559" spans="1:16" x14ac:dyDescent="0.25">
      <c r="A559" s="4">
        <v>45296</v>
      </c>
      <c r="B559" s="2" t="s">
        <v>997</v>
      </c>
      <c r="C559" s="2" t="s">
        <v>796</v>
      </c>
      <c r="D559" t="s">
        <v>33</v>
      </c>
      <c r="E559" s="2" t="s">
        <v>34</v>
      </c>
      <c r="F559" s="2" t="s">
        <v>28</v>
      </c>
      <c r="G559" s="2" t="s">
        <v>188</v>
      </c>
      <c r="H559" s="2" t="s">
        <v>292</v>
      </c>
      <c r="I559" s="2">
        <v>1</v>
      </c>
      <c r="J559" s="2">
        <v>3880</v>
      </c>
      <c r="K559" s="2">
        <v>0</v>
      </c>
      <c r="L559" s="2">
        <v>0</v>
      </c>
      <c r="M559" s="2">
        <v>3880</v>
      </c>
      <c r="N559" s="2" t="s">
        <v>23</v>
      </c>
      <c r="O559" s="2">
        <v>3</v>
      </c>
      <c r="P559" s="2" t="s">
        <v>24</v>
      </c>
    </row>
    <row r="560" spans="1:16" x14ac:dyDescent="0.25">
      <c r="A560" s="4">
        <v>45297</v>
      </c>
      <c r="B560" s="2" t="s">
        <v>998</v>
      </c>
      <c r="C560" s="2" t="s">
        <v>443</v>
      </c>
      <c r="D560" t="s">
        <v>27</v>
      </c>
      <c r="E560" s="2" t="s">
        <v>19</v>
      </c>
      <c r="F560" s="2" t="s">
        <v>61</v>
      </c>
      <c r="G560" s="2" t="s">
        <v>200</v>
      </c>
      <c r="H560" s="2" t="s">
        <v>473</v>
      </c>
      <c r="I560" s="2">
        <v>1</v>
      </c>
      <c r="J560" s="2">
        <v>1152</v>
      </c>
      <c r="K560" s="2">
        <v>15</v>
      </c>
      <c r="L560" s="2">
        <v>172.8</v>
      </c>
      <c r="M560" s="2">
        <v>979.2</v>
      </c>
      <c r="N560" s="2" t="s">
        <v>23</v>
      </c>
      <c r="O560" s="2">
        <v>1</v>
      </c>
      <c r="P560" s="2" t="s">
        <v>24</v>
      </c>
    </row>
    <row r="561" spans="1:16" x14ac:dyDescent="0.25">
      <c r="A561" s="4">
        <v>45298</v>
      </c>
      <c r="B561" s="2" t="s">
        <v>999</v>
      </c>
      <c r="C561" s="2" t="s">
        <v>503</v>
      </c>
      <c r="D561" t="s">
        <v>174</v>
      </c>
      <c r="E561" s="2" t="s">
        <v>60</v>
      </c>
      <c r="F561" s="2" t="s">
        <v>71</v>
      </c>
      <c r="G561" s="2" t="s">
        <v>86</v>
      </c>
      <c r="H561" s="2" t="s">
        <v>392</v>
      </c>
      <c r="I561" s="2">
        <v>1</v>
      </c>
      <c r="J561" s="2">
        <v>371</v>
      </c>
      <c r="K561" s="2">
        <v>15</v>
      </c>
      <c r="L561" s="2">
        <v>55.65</v>
      </c>
      <c r="M561" s="2">
        <v>315.35000000000002</v>
      </c>
      <c r="N561" s="2" t="s">
        <v>50</v>
      </c>
      <c r="O561" s="2">
        <v>5</v>
      </c>
      <c r="P561" s="2" t="s">
        <v>24</v>
      </c>
    </row>
    <row r="562" spans="1:16" x14ac:dyDescent="0.25">
      <c r="A562" s="4">
        <v>45299</v>
      </c>
      <c r="B562" s="2" t="s">
        <v>1000</v>
      </c>
      <c r="C562" s="2" t="s">
        <v>1001</v>
      </c>
      <c r="D562" t="s">
        <v>33</v>
      </c>
      <c r="E562" s="2" t="s">
        <v>34</v>
      </c>
      <c r="F562" s="2" t="s">
        <v>35</v>
      </c>
      <c r="G562" s="2" t="s">
        <v>130</v>
      </c>
      <c r="H562" s="2" t="s">
        <v>131</v>
      </c>
      <c r="I562" s="2">
        <v>1</v>
      </c>
      <c r="J562" s="2">
        <v>34760</v>
      </c>
      <c r="K562" s="2">
        <v>20</v>
      </c>
      <c r="L562" s="2">
        <v>6952</v>
      </c>
      <c r="M562" s="2">
        <v>27808</v>
      </c>
      <c r="N562" s="2" t="s">
        <v>23</v>
      </c>
      <c r="O562" s="2">
        <v>2</v>
      </c>
      <c r="P562" s="2" t="s">
        <v>24</v>
      </c>
    </row>
    <row r="563" spans="1:16" x14ac:dyDescent="0.25">
      <c r="A563" s="4">
        <v>45300</v>
      </c>
      <c r="B563" s="2" t="s">
        <v>1002</v>
      </c>
      <c r="C563" s="2" t="s">
        <v>496</v>
      </c>
      <c r="D563" t="s">
        <v>41</v>
      </c>
      <c r="E563" s="2" t="s">
        <v>19</v>
      </c>
      <c r="F563" s="2" t="s">
        <v>61</v>
      </c>
      <c r="G563" s="2" t="s">
        <v>262</v>
      </c>
      <c r="H563" s="2" t="s">
        <v>310</v>
      </c>
      <c r="I563" s="2">
        <v>2</v>
      </c>
      <c r="J563" s="2">
        <v>1664</v>
      </c>
      <c r="K563" s="2">
        <v>0</v>
      </c>
      <c r="L563" s="2">
        <v>0</v>
      </c>
      <c r="M563" s="2">
        <v>3328</v>
      </c>
      <c r="N563" s="2" t="s">
        <v>50</v>
      </c>
      <c r="O563" s="2">
        <v>1</v>
      </c>
      <c r="P563" s="2" t="s">
        <v>24</v>
      </c>
    </row>
    <row r="564" spans="1:16" x14ac:dyDescent="0.25">
      <c r="A564" s="4">
        <v>45301</v>
      </c>
      <c r="B564" s="2" t="s">
        <v>1003</v>
      </c>
      <c r="C564" s="2" t="s">
        <v>211</v>
      </c>
      <c r="D564" t="s">
        <v>66</v>
      </c>
      <c r="E564" s="2" t="s">
        <v>19</v>
      </c>
      <c r="F564" s="2" t="s">
        <v>71</v>
      </c>
      <c r="G564" s="2" t="s">
        <v>72</v>
      </c>
      <c r="H564" s="2" t="s">
        <v>511</v>
      </c>
      <c r="I564" s="2">
        <v>1</v>
      </c>
      <c r="J564" s="2">
        <v>1290</v>
      </c>
      <c r="K564" s="2">
        <v>0</v>
      </c>
      <c r="L564" s="2">
        <v>0</v>
      </c>
      <c r="M564" s="2">
        <v>1290</v>
      </c>
      <c r="N564" s="2" t="s">
        <v>23</v>
      </c>
      <c r="O564" s="2">
        <v>3</v>
      </c>
      <c r="P564" s="2" t="s">
        <v>24</v>
      </c>
    </row>
    <row r="565" spans="1:16" x14ac:dyDescent="0.25">
      <c r="A565" s="4">
        <v>45302</v>
      </c>
      <c r="B565" s="2" t="s">
        <v>1004</v>
      </c>
      <c r="C565" s="2" t="s">
        <v>197</v>
      </c>
      <c r="D565" t="s">
        <v>174</v>
      </c>
      <c r="E565" s="2" t="s">
        <v>60</v>
      </c>
      <c r="F565" s="2" t="s">
        <v>20</v>
      </c>
      <c r="G565" s="2" t="s">
        <v>54</v>
      </c>
      <c r="H565" s="2" t="s">
        <v>441</v>
      </c>
      <c r="I565" s="2">
        <v>1</v>
      </c>
      <c r="J565" s="2">
        <v>2207</v>
      </c>
      <c r="K565" s="2">
        <v>5</v>
      </c>
      <c r="L565" s="2">
        <v>110.35</v>
      </c>
      <c r="M565" s="2">
        <v>2096.65</v>
      </c>
      <c r="N565" s="2" t="s">
        <v>23</v>
      </c>
      <c r="O565" s="2">
        <v>3</v>
      </c>
      <c r="P565" s="2" t="s">
        <v>24</v>
      </c>
    </row>
    <row r="566" spans="1:16" x14ac:dyDescent="0.25">
      <c r="A566" s="4">
        <v>45303</v>
      </c>
      <c r="B566" s="2" t="s">
        <v>1005</v>
      </c>
      <c r="C566" s="2" t="s">
        <v>191</v>
      </c>
      <c r="D566" t="s">
        <v>33</v>
      </c>
      <c r="E566" s="2" t="s">
        <v>34</v>
      </c>
      <c r="F566" s="2" t="s">
        <v>28</v>
      </c>
      <c r="G566" s="2" t="s">
        <v>110</v>
      </c>
      <c r="H566" s="2" t="s">
        <v>111</v>
      </c>
      <c r="I566" s="2">
        <v>1</v>
      </c>
      <c r="J566" s="2">
        <v>4996</v>
      </c>
      <c r="K566" s="2">
        <v>5</v>
      </c>
      <c r="L566" s="2">
        <v>249.8</v>
      </c>
      <c r="M566" s="2">
        <v>4746.2</v>
      </c>
      <c r="N566" s="2" t="s">
        <v>23</v>
      </c>
      <c r="O566" s="2">
        <v>3</v>
      </c>
      <c r="P566" s="2" t="s">
        <v>24</v>
      </c>
    </row>
    <row r="567" spans="1:16" x14ac:dyDescent="0.25">
      <c r="A567" s="4">
        <v>45304</v>
      </c>
      <c r="B567" s="2" t="s">
        <v>1006</v>
      </c>
      <c r="C567" s="2" t="s">
        <v>790</v>
      </c>
      <c r="D567" t="s">
        <v>41</v>
      </c>
      <c r="E567" s="2" t="s">
        <v>19</v>
      </c>
      <c r="F567" s="2" t="s">
        <v>71</v>
      </c>
      <c r="G567" s="2" t="s">
        <v>76</v>
      </c>
      <c r="H567" s="2" t="s">
        <v>181</v>
      </c>
      <c r="I567" s="2">
        <v>1</v>
      </c>
      <c r="J567" s="2">
        <v>418</v>
      </c>
      <c r="K567" s="2">
        <v>20</v>
      </c>
      <c r="L567" s="2">
        <v>83.6</v>
      </c>
      <c r="M567" s="2">
        <v>334.4</v>
      </c>
      <c r="N567" s="2" t="s">
        <v>23</v>
      </c>
      <c r="O567" s="2">
        <v>2</v>
      </c>
      <c r="P567" s="2" t="s">
        <v>24</v>
      </c>
    </row>
    <row r="568" spans="1:16" x14ac:dyDescent="0.25">
      <c r="A568" s="4">
        <v>45305</v>
      </c>
      <c r="B568" s="2" t="s">
        <v>1007</v>
      </c>
      <c r="C568" s="2" t="s">
        <v>652</v>
      </c>
      <c r="D568" t="s">
        <v>66</v>
      </c>
      <c r="E568" s="2" t="s">
        <v>19</v>
      </c>
      <c r="F568" s="2" t="s">
        <v>35</v>
      </c>
      <c r="G568" s="2" t="s">
        <v>124</v>
      </c>
      <c r="H568" s="2" t="s">
        <v>350</v>
      </c>
      <c r="I568" s="2">
        <v>1</v>
      </c>
      <c r="J568" s="2">
        <v>39093</v>
      </c>
      <c r="K568" s="2">
        <v>5</v>
      </c>
      <c r="L568" s="2">
        <v>1954.65</v>
      </c>
      <c r="M568" s="2">
        <v>37138.35</v>
      </c>
      <c r="N568" s="2" t="s">
        <v>23</v>
      </c>
      <c r="O568" s="2">
        <v>1</v>
      </c>
      <c r="P568" s="2" t="s">
        <v>24</v>
      </c>
    </row>
    <row r="569" spans="1:16" x14ac:dyDescent="0.25">
      <c r="A569" s="4">
        <v>45306</v>
      </c>
      <c r="B569" s="2" t="s">
        <v>1008</v>
      </c>
      <c r="C569" s="2" t="s">
        <v>550</v>
      </c>
      <c r="D569" t="s">
        <v>59</v>
      </c>
      <c r="E569" s="2" t="s">
        <v>60</v>
      </c>
      <c r="F569" s="2" t="s">
        <v>20</v>
      </c>
      <c r="G569" s="2" t="s">
        <v>54</v>
      </c>
      <c r="H569" s="2" t="s">
        <v>118</v>
      </c>
      <c r="I569" s="2">
        <v>3</v>
      </c>
      <c r="J569" s="2">
        <v>2637</v>
      </c>
      <c r="K569" s="2">
        <v>0</v>
      </c>
      <c r="L569" s="2">
        <v>0</v>
      </c>
      <c r="M569" s="2">
        <v>7911</v>
      </c>
      <c r="N569" s="2" t="s">
        <v>23</v>
      </c>
      <c r="O569" s="2">
        <v>2</v>
      </c>
      <c r="P569" s="2" t="s">
        <v>24</v>
      </c>
    </row>
    <row r="570" spans="1:16" x14ac:dyDescent="0.25">
      <c r="A570" s="4">
        <v>45307</v>
      </c>
      <c r="B570" s="2" t="s">
        <v>1009</v>
      </c>
      <c r="C570" s="2" t="s">
        <v>1010</v>
      </c>
      <c r="D570" t="s">
        <v>18</v>
      </c>
      <c r="E570" s="2" t="s">
        <v>19</v>
      </c>
      <c r="F570" s="2" t="s">
        <v>71</v>
      </c>
      <c r="G570" s="2" t="s">
        <v>72</v>
      </c>
      <c r="H570" s="2" t="s">
        <v>266</v>
      </c>
      <c r="I570" s="2">
        <v>1</v>
      </c>
      <c r="J570" s="2">
        <v>705</v>
      </c>
      <c r="K570" s="2">
        <v>0</v>
      </c>
      <c r="L570" s="2">
        <v>0</v>
      </c>
      <c r="M570" s="2">
        <v>705</v>
      </c>
      <c r="N570" s="2" t="s">
        <v>44</v>
      </c>
      <c r="O570" s="2">
        <v>3</v>
      </c>
      <c r="P570" s="2" t="s">
        <v>24</v>
      </c>
    </row>
    <row r="571" spans="1:16" x14ac:dyDescent="0.25">
      <c r="A571" s="4">
        <v>45308</v>
      </c>
      <c r="B571" s="2" t="s">
        <v>1011</v>
      </c>
      <c r="C571" s="2" t="s">
        <v>706</v>
      </c>
      <c r="D571" t="s">
        <v>53</v>
      </c>
      <c r="E571" s="2" t="s">
        <v>53</v>
      </c>
      <c r="F571" s="2" t="s">
        <v>28</v>
      </c>
      <c r="G571" s="2" t="s">
        <v>29</v>
      </c>
      <c r="H571" s="2" t="s">
        <v>477</v>
      </c>
      <c r="I571" s="2">
        <v>1</v>
      </c>
      <c r="J571" s="2">
        <v>4532</v>
      </c>
      <c r="K571" s="2">
        <v>0</v>
      </c>
      <c r="L571" s="2">
        <v>0</v>
      </c>
      <c r="M571" s="2">
        <v>4532</v>
      </c>
      <c r="N571" s="2" t="s">
        <v>50</v>
      </c>
      <c r="O571" s="2">
        <v>2</v>
      </c>
      <c r="P571" s="2" t="s">
        <v>24</v>
      </c>
    </row>
    <row r="572" spans="1:16" x14ac:dyDescent="0.25">
      <c r="A572" s="4">
        <v>45309</v>
      </c>
      <c r="B572" s="2" t="s">
        <v>1012</v>
      </c>
      <c r="C572" s="2" t="s">
        <v>169</v>
      </c>
      <c r="D572" t="s">
        <v>59</v>
      </c>
      <c r="E572" s="2" t="s">
        <v>60</v>
      </c>
      <c r="F572" s="2" t="s">
        <v>28</v>
      </c>
      <c r="G572" s="2" t="s">
        <v>110</v>
      </c>
      <c r="H572" s="2" t="s">
        <v>956</v>
      </c>
      <c r="I572" s="2">
        <v>1</v>
      </c>
      <c r="J572" s="2">
        <v>1231</v>
      </c>
      <c r="K572" s="2">
        <v>10</v>
      </c>
      <c r="L572" s="2">
        <v>123.1</v>
      </c>
      <c r="M572" s="2">
        <v>1107.9000000000001</v>
      </c>
      <c r="N572" s="2" t="s">
        <v>23</v>
      </c>
      <c r="O572" s="2">
        <v>3</v>
      </c>
      <c r="P572" s="2" t="s">
        <v>24</v>
      </c>
    </row>
    <row r="573" spans="1:16" x14ac:dyDescent="0.25">
      <c r="A573" s="4">
        <v>45310</v>
      </c>
      <c r="B573" s="2" t="s">
        <v>1013</v>
      </c>
      <c r="C573" s="2" t="s">
        <v>1014</v>
      </c>
      <c r="D573" t="s">
        <v>27</v>
      </c>
      <c r="E573" s="2" t="s">
        <v>19</v>
      </c>
      <c r="F573" s="2" t="s">
        <v>28</v>
      </c>
      <c r="G573" s="2" t="s">
        <v>90</v>
      </c>
      <c r="H573" s="2" t="s">
        <v>456</v>
      </c>
      <c r="I573" s="2">
        <v>1</v>
      </c>
      <c r="J573" s="2">
        <v>2408</v>
      </c>
      <c r="K573" s="2">
        <v>5</v>
      </c>
      <c r="L573" s="2">
        <v>120.4</v>
      </c>
      <c r="M573" s="2">
        <v>2287.6</v>
      </c>
      <c r="N573" s="2" t="s">
        <v>23</v>
      </c>
      <c r="O573" s="2">
        <v>2</v>
      </c>
      <c r="P573" s="2" t="s">
        <v>24</v>
      </c>
    </row>
    <row r="574" spans="1:16" x14ac:dyDescent="0.25">
      <c r="A574" s="4">
        <v>45311</v>
      </c>
      <c r="B574" s="2" t="s">
        <v>1015</v>
      </c>
      <c r="C574" s="2" t="s">
        <v>1016</v>
      </c>
      <c r="D574" t="s">
        <v>174</v>
      </c>
      <c r="E574" s="2" t="s">
        <v>60</v>
      </c>
      <c r="F574" s="2" t="s">
        <v>35</v>
      </c>
      <c r="G574" s="2" t="s">
        <v>67</v>
      </c>
      <c r="H574" s="2" t="s">
        <v>364</v>
      </c>
      <c r="I574" s="2">
        <v>1</v>
      </c>
      <c r="J574" s="2">
        <v>16942</v>
      </c>
      <c r="K574" s="2">
        <v>0</v>
      </c>
      <c r="L574" s="2">
        <v>0</v>
      </c>
      <c r="M574" s="2">
        <v>16942</v>
      </c>
      <c r="N574" s="2" t="s">
        <v>44</v>
      </c>
      <c r="O574" s="2">
        <v>3</v>
      </c>
      <c r="P574" s="2" t="s">
        <v>24</v>
      </c>
    </row>
    <row r="575" spans="1:16" x14ac:dyDescent="0.25">
      <c r="A575" s="4">
        <v>45312</v>
      </c>
      <c r="B575" s="2" t="s">
        <v>1017</v>
      </c>
      <c r="C575" s="2" t="s">
        <v>462</v>
      </c>
      <c r="D575" t="s">
        <v>33</v>
      </c>
      <c r="E575" s="2" t="s">
        <v>34</v>
      </c>
      <c r="F575" s="2" t="s">
        <v>20</v>
      </c>
      <c r="G575" s="2" t="s">
        <v>54</v>
      </c>
      <c r="H575" s="2" t="s">
        <v>269</v>
      </c>
      <c r="I575" s="2">
        <v>1</v>
      </c>
      <c r="J575" s="2">
        <v>2589</v>
      </c>
      <c r="K575" s="2">
        <v>0</v>
      </c>
      <c r="L575" s="2">
        <v>0</v>
      </c>
      <c r="M575" s="2">
        <v>2589</v>
      </c>
      <c r="N575" s="2" t="s">
        <v>50</v>
      </c>
      <c r="O575" s="2">
        <v>4</v>
      </c>
      <c r="P575" s="2" t="s">
        <v>24</v>
      </c>
    </row>
    <row r="576" spans="1:16" x14ac:dyDescent="0.25">
      <c r="A576" s="4">
        <v>45313</v>
      </c>
      <c r="B576" s="2" t="s">
        <v>1018</v>
      </c>
      <c r="C576" s="2" t="s">
        <v>1019</v>
      </c>
      <c r="D576" t="s">
        <v>84</v>
      </c>
      <c r="E576" s="2" t="s">
        <v>85</v>
      </c>
      <c r="F576" s="2" t="s">
        <v>61</v>
      </c>
      <c r="G576" s="2" t="s">
        <v>200</v>
      </c>
      <c r="H576" s="2" t="s">
        <v>331</v>
      </c>
      <c r="I576" s="2">
        <v>1</v>
      </c>
      <c r="J576" s="2">
        <v>1091</v>
      </c>
      <c r="K576" s="2">
        <v>5</v>
      </c>
      <c r="L576" s="2">
        <v>54.55</v>
      </c>
      <c r="M576" s="2">
        <v>1036.45</v>
      </c>
      <c r="N576" s="2" t="s">
        <v>44</v>
      </c>
      <c r="O576" s="2">
        <v>2</v>
      </c>
      <c r="P576" s="2" t="s">
        <v>24</v>
      </c>
    </row>
    <row r="577" spans="1:16" x14ac:dyDescent="0.25">
      <c r="A577" s="4">
        <v>45314</v>
      </c>
      <c r="B577" s="2" t="s">
        <v>1020</v>
      </c>
      <c r="C577" s="2" t="s">
        <v>411</v>
      </c>
      <c r="D577" t="s">
        <v>18</v>
      </c>
      <c r="E577" s="2" t="s">
        <v>19</v>
      </c>
      <c r="F577" s="2" t="s">
        <v>35</v>
      </c>
      <c r="G577" s="2" t="s">
        <v>80</v>
      </c>
      <c r="H577" s="2" t="s">
        <v>520</v>
      </c>
      <c r="I577" s="2">
        <v>1</v>
      </c>
      <c r="J577" s="2">
        <v>32545</v>
      </c>
      <c r="K577" s="2">
        <v>10</v>
      </c>
      <c r="L577" s="2">
        <v>3254.5</v>
      </c>
      <c r="M577" s="2">
        <v>29290.5</v>
      </c>
      <c r="N577" s="2" t="s">
        <v>50</v>
      </c>
      <c r="O577" s="2">
        <v>4</v>
      </c>
      <c r="P577" s="2" t="s">
        <v>24</v>
      </c>
    </row>
    <row r="578" spans="1:16" x14ac:dyDescent="0.25">
      <c r="A578" s="4">
        <v>45315</v>
      </c>
      <c r="B578" s="2" t="s">
        <v>1021</v>
      </c>
      <c r="C578" s="2" t="s">
        <v>977</v>
      </c>
      <c r="D578" t="s">
        <v>33</v>
      </c>
      <c r="E578" s="2" t="s">
        <v>34</v>
      </c>
      <c r="F578" s="2" t="s">
        <v>20</v>
      </c>
      <c r="G578" s="2" t="s">
        <v>170</v>
      </c>
      <c r="H578" s="2" t="s">
        <v>563</v>
      </c>
      <c r="I578" s="2">
        <v>1</v>
      </c>
      <c r="J578" s="2">
        <v>1322</v>
      </c>
      <c r="K578" s="2">
        <v>15</v>
      </c>
      <c r="L578" s="2">
        <v>198.3</v>
      </c>
      <c r="M578" s="2">
        <v>1123.7</v>
      </c>
      <c r="N578" s="2" t="s">
        <v>50</v>
      </c>
      <c r="O578" s="2">
        <v>2</v>
      </c>
      <c r="P578" s="2" t="s">
        <v>24</v>
      </c>
    </row>
    <row r="579" spans="1:16" x14ac:dyDescent="0.25">
      <c r="A579" s="4">
        <v>45316</v>
      </c>
      <c r="B579" s="2" t="s">
        <v>1022</v>
      </c>
      <c r="C579" s="2" t="s">
        <v>194</v>
      </c>
      <c r="D579" t="s">
        <v>47</v>
      </c>
      <c r="E579" s="2" t="s">
        <v>48</v>
      </c>
      <c r="F579" s="2" t="s">
        <v>28</v>
      </c>
      <c r="G579" s="2" t="s">
        <v>110</v>
      </c>
      <c r="H579" s="2" t="s">
        <v>111</v>
      </c>
      <c r="I579" s="2">
        <v>1</v>
      </c>
      <c r="J579" s="2">
        <v>2319</v>
      </c>
      <c r="K579" s="2">
        <v>0</v>
      </c>
      <c r="L579" s="2">
        <v>0</v>
      </c>
      <c r="M579" s="2">
        <v>2319</v>
      </c>
      <c r="N579" s="2" t="s">
        <v>44</v>
      </c>
      <c r="O579" s="2">
        <v>4</v>
      </c>
      <c r="P579" s="2" t="s">
        <v>24</v>
      </c>
    </row>
    <row r="580" spans="1:16" x14ac:dyDescent="0.25">
      <c r="A580" s="4">
        <v>45317</v>
      </c>
      <c r="B580" s="2" t="s">
        <v>1023</v>
      </c>
      <c r="C580" s="2" t="s">
        <v>559</v>
      </c>
      <c r="D580" t="s">
        <v>33</v>
      </c>
      <c r="E580" s="2" t="s">
        <v>34</v>
      </c>
      <c r="F580" s="2" t="s">
        <v>20</v>
      </c>
      <c r="G580" s="2" t="s">
        <v>42</v>
      </c>
      <c r="H580" s="2" t="s">
        <v>221</v>
      </c>
      <c r="I580" s="2">
        <v>1</v>
      </c>
      <c r="J580" s="2">
        <v>5705</v>
      </c>
      <c r="K580" s="2">
        <v>10</v>
      </c>
      <c r="L580" s="2">
        <v>570.5</v>
      </c>
      <c r="M580" s="2">
        <v>5134.5</v>
      </c>
      <c r="N580" s="2" t="s">
        <v>56</v>
      </c>
      <c r="O580" s="2">
        <v>2</v>
      </c>
      <c r="P580" s="2" t="s">
        <v>24</v>
      </c>
    </row>
    <row r="581" spans="1:16" x14ac:dyDescent="0.25">
      <c r="A581" s="4">
        <v>45318</v>
      </c>
      <c r="B581" s="2" t="s">
        <v>1024</v>
      </c>
      <c r="C581" s="2" t="s">
        <v>1025</v>
      </c>
      <c r="D581" t="s">
        <v>33</v>
      </c>
      <c r="E581" s="2" t="s">
        <v>34</v>
      </c>
      <c r="F581" s="2" t="s">
        <v>28</v>
      </c>
      <c r="G581" s="2" t="s">
        <v>289</v>
      </c>
      <c r="H581" s="2" t="s">
        <v>290</v>
      </c>
      <c r="I581" s="2">
        <v>2</v>
      </c>
      <c r="J581" s="2">
        <v>2647</v>
      </c>
      <c r="K581" s="2">
        <v>0</v>
      </c>
      <c r="L581" s="2">
        <v>0</v>
      </c>
      <c r="M581" s="2">
        <v>5294</v>
      </c>
      <c r="N581" s="2" t="s">
        <v>38</v>
      </c>
      <c r="O581" s="2">
        <v>3</v>
      </c>
      <c r="P581" s="2" t="s">
        <v>24</v>
      </c>
    </row>
    <row r="582" spans="1:16" x14ac:dyDescent="0.25">
      <c r="A582" s="4">
        <v>45319</v>
      </c>
      <c r="B582" s="2" t="s">
        <v>1026</v>
      </c>
      <c r="C582" s="2" t="s">
        <v>971</v>
      </c>
      <c r="D582" t="s">
        <v>27</v>
      </c>
      <c r="E582" s="2" t="s">
        <v>19</v>
      </c>
      <c r="F582" s="2" t="s">
        <v>61</v>
      </c>
      <c r="G582" s="2" t="s">
        <v>262</v>
      </c>
      <c r="H582" s="2" t="s">
        <v>755</v>
      </c>
      <c r="I582" s="2">
        <v>1</v>
      </c>
      <c r="J582" s="2">
        <v>1879</v>
      </c>
      <c r="K582" s="2">
        <v>0</v>
      </c>
      <c r="L582" s="2">
        <v>0</v>
      </c>
      <c r="M582" s="2">
        <v>1879</v>
      </c>
      <c r="N582" s="2" t="s">
        <v>56</v>
      </c>
      <c r="O582" s="2">
        <v>2</v>
      </c>
      <c r="P582" s="2" t="s">
        <v>24</v>
      </c>
    </row>
    <row r="583" spans="1:16" x14ac:dyDescent="0.25">
      <c r="A583" s="4">
        <v>45320</v>
      </c>
      <c r="B583" s="2" t="s">
        <v>1027</v>
      </c>
      <c r="C583" s="2" t="s">
        <v>691</v>
      </c>
      <c r="D583" t="s">
        <v>18</v>
      </c>
      <c r="E583" s="2" t="s">
        <v>19</v>
      </c>
      <c r="F583" s="2" t="s">
        <v>28</v>
      </c>
      <c r="G583" s="2" t="s">
        <v>110</v>
      </c>
      <c r="H583" s="2" t="s">
        <v>956</v>
      </c>
      <c r="I583" s="2">
        <v>3</v>
      </c>
      <c r="J583" s="2">
        <v>4077</v>
      </c>
      <c r="K583" s="2">
        <v>0</v>
      </c>
      <c r="L583" s="2">
        <v>0</v>
      </c>
      <c r="M583" s="2">
        <v>12231</v>
      </c>
      <c r="N583" s="2" t="s">
        <v>23</v>
      </c>
      <c r="O583" s="2">
        <v>3</v>
      </c>
      <c r="P583" s="2" t="s">
        <v>24</v>
      </c>
    </row>
    <row r="584" spans="1:16" x14ac:dyDescent="0.25">
      <c r="A584" s="4">
        <v>45321</v>
      </c>
      <c r="B584" s="2" t="s">
        <v>1028</v>
      </c>
      <c r="C584" s="2" t="s">
        <v>605</v>
      </c>
      <c r="D584" t="s">
        <v>59</v>
      </c>
      <c r="E584" s="2" t="s">
        <v>60</v>
      </c>
      <c r="F584" s="2" t="s">
        <v>35</v>
      </c>
      <c r="G584" s="2" t="s">
        <v>80</v>
      </c>
      <c r="H584" s="2" t="s">
        <v>214</v>
      </c>
      <c r="I584" s="2">
        <v>1</v>
      </c>
      <c r="J584" s="2">
        <v>20868</v>
      </c>
      <c r="K584" s="2">
        <v>0</v>
      </c>
      <c r="L584" s="2">
        <v>0</v>
      </c>
      <c r="M584" s="2">
        <v>20868</v>
      </c>
      <c r="N584" s="2" t="s">
        <v>50</v>
      </c>
      <c r="O584" s="2">
        <v>1</v>
      </c>
      <c r="P584" s="2" t="s">
        <v>24</v>
      </c>
    </row>
    <row r="585" spans="1:16" x14ac:dyDescent="0.25">
      <c r="A585" s="4">
        <v>45322</v>
      </c>
      <c r="B585" s="2" t="s">
        <v>1029</v>
      </c>
      <c r="C585" s="2" t="s">
        <v>614</v>
      </c>
      <c r="D585" t="s">
        <v>84</v>
      </c>
      <c r="E585" s="2" t="s">
        <v>85</v>
      </c>
      <c r="F585" s="2" t="s">
        <v>28</v>
      </c>
      <c r="G585" s="2" t="s">
        <v>110</v>
      </c>
      <c r="H585" s="2" t="s">
        <v>253</v>
      </c>
      <c r="I585" s="2">
        <v>1</v>
      </c>
      <c r="J585" s="2">
        <v>845</v>
      </c>
      <c r="K585" s="2">
        <v>10</v>
      </c>
      <c r="L585" s="2">
        <v>84.5</v>
      </c>
      <c r="M585" s="2">
        <v>760.5</v>
      </c>
      <c r="N585" s="2" t="s">
        <v>44</v>
      </c>
      <c r="O585" s="2">
        <v>4</v>
      </c>
      <c r="P585" s="2" t="s">
        <v>24</v>
      </c>
    </row>
    <row r="586" spans="1:16" x14ac:dyDescent="0.25">
      <c r="A586" s="4">
        <v>45323</v>
      </c>
      <c r="B586" s="2" t="s">
        <v>1030</v>
      </c>
      <c r="C586" s="2" t="s">
        <v>819</v>
      </c>
      <c r="D586" t="s">
        <v>41</v>
      </c>
      <c r="E586" s="2" t="s">
        <v>19</v>
      </c>
      <c r="F586" s="2" t="s">
        <v>35</v>
      </c>
      <c r="G586" s="2" t="s">
        <v>67</v>
      </c>
      <c r="H586" s="2" t="s">
        <v>68</v>
      </c>
      <c r="I586" s="2">
        <v>3</v>
      </c>
      <c r="J586" s="2">
        <v>25232</v>
      </c>
      <c r="K586" s="2">
        <v>0</v>
      </c>
      <c r="L586" s="2">
        <v>0</v>
      </c>
      <c r="M586" s="2">
        <v>75696</v>
      </c>
      <c r="N586" s="2" t="s">
        <v>23</v>
      </c>
      <c r="O586" s="2">
        <v>4</v>
      </c>
      <c r="P586" s="2" t="s">
        <v>24</v>
      </c>
    </row>
    <row r="587" spans="1:16" x14ac:dyDescent="0.25">
      <c r="A587" s="4">
        <v>45324</v>
      </c>
      <c r="B587" s="2" t="s">
        <v>1031</v>
      </c>
      <c r="C587" s="2" t="s">
        <v>938</v>
      </c>
      <c r="D587" t="s">
        <v>84</v>
      </c>
      <c r="E587" s="2" t="s">
        <v>85</v>
      </c>
      <c r="F587" s="2" t="s">
        <v>71</v>
      </c>
      <c r="G587" s="2" t="s">
        <v>106</v>
      </c>
      <c r="H587" s="2" t="s">
        <v>346</v>
      </c>
      <c r="I587" s="2">
        <v>1</v>
      </c>
      <c r="J587" s="2">
        <v>831</v>
      </c>
      <c r="K587" s="2">
        <v>5</v>
      </c>
      <c r="L587" s="2">
        <v>41.55</v>
      </c>
      <c r="M587" s="2">
        <v>789.45</v>
      </c>
      <c r="N587" s="2" t="s">
        <v>56</v>
      </c>
      <c r="O587" s="2">
        <v>2</v>
      </c>
      <c r="P587" s="2" t="s">
        <v>24</v>
      </c>
    </row>
    <row r="588" spans="1:16" x14ac:dyDescent="0.25">
      <c r="A588" s="4">
        <v>45325</v>
      </c>
      <c r="B588" s="2" t="s">
        <v>1032</v>
      </c>
      <c r="C588" s="2" t="s">
        <v>70</v>
      </c>
      <c r="D588" t="s">
        <v>66</v>
      </c>
      <c r="E588" s="2" t="s">
        <v>19</v>
      </c>
      <c r="F588" s="2" t="s">
        <v>61</v>
      </c>
      <c r="G588" s="2" t="s">
        <v>150</v>
      </c>
      <c r="H588" s="2" t="s">
        <v>501</v>
      </c>
      <c r="I588" s="2">
        <v>2</v>
      </c>
      <c r="J588" s="2">
        <v>1533</v>
      </c>
      <c r="K588" s="2">
        <v>5</v>
      </c>
      <c r="L588" s="2">
        <v>153.30000000000001</v>
      </c>
      <c r="M588" s="2">
        <v>2912.7</v>
      </c>
      <c r="N588" s="2" t="s">
        <v>23</v>
      </c>
      <c r="O588" s="2">
        <v>2</v>
      </c>
      <c r="P588" s="2" t="s">
        <v>24</v>
      </c>
    </row>
    <row r="589" spans="1:16" x14ac:dyDescent="0.25">
      <c r="A589" s="4">
        <v>45326</v>
      </c>
      <c r="B589" s="2" t="s">
        <v>1033</v>
      </c>
      <c r="C589" s="2" t="s">
        <v>662</v>
      </c>
      <c r="D589" t="s">
        <v>41</v>
      </c>
      <c r="E589" s="2" t="s">
        <v>19</v>
      </c>
      <c r="F589" s="2" t="s">
        <v>35</v>
      </c>
      <c r="G589" s="2" t="s">
        <v>124</v>
      </c>
      <c r="H589" s="2" t="s">
        <v>125</v>
      </c>
      <c r="I589" s="2">
        <v>3</v>
      </c>
      <c r="J589" s="2">
        <v>8756</v>
      </c>
      <c r="K589" s="2">
        <v>5</v>
      </c>
      <c r="L589" s="2">
        <v>1313.4</v>
      </c>
      <c r="M589" s="2">
        <v>24954.6</v>
      </c>
      <c r="N589" s="2" t="s">
        <v>56</v>
      </c>
      <c r="O589" s="2">
        <v>2</v>
      </c>
      <c r="P589" s="2" t="s">
        <v>24</v>
      </c>
    </row>
    <row r="590" spans="1:16" x14ac:dyDescent="0.25">
      <c r="A590" s="4">
        <v>45327</v>
      </c>
      <c r="B590" s="2" t="s">
        <v>1034</v>
      </c>
      <c r="C590" s="2" t="s">
        <v>285</v>
      </c>
      <c r="D590" t="s">
        <v>18</v>
      </c>
      <c r="E590" s="2" t="s">
        <v>19</v>
      </c>
      <c r="F590" s="2" t="s">
        <v>28</v>
      </c>
      <c r="G590" s="2" t="s">
        <v>289</v>
      </c>
      <c r="H590" s="2" t="s">
        <v>290</v>
      </c>
      <c r="I590" s="2">
        <v>1</v>
      </c>
      <c r="J590" s="2">
        <v>2949</v>
      </c>
      <c r="K590" s="2">
        <v>10</v>
      </c>
      <c r="L590" s="2">
        <v>294.89999999999998</v>
      </c>
      <c r="M590" s="2">
        <v>2654.1</v>
      </c>
      <c r="N590" s="2" t="s">
        <v>23</v>
      </c>
      <c r="O590" s="2">
        <v>2</v>
      </c>
      <c r="P590" s="2" t="s">
        <v>24</v>
      </c>
    </row>
    <row r="591" spans="1:16" x14ac:dyDescent="0.25">
      <c r="A591" s="4">
        <v>45328</v>
      </c>
      <c r="B591" s="2" t="s">
        <v>1035</v>
      </c>
      <c r="C591" s="2" t="s">
        <v>510</v>
      </c>
      <c r="D591" t="s">
        <v>47</v>
      </c>
      <c r="E591" s="2" t="s">
        <v>48</v>
      </c>
      <c r="F591" s="2" t="s">
        <v>35</v>
      </c>
      <c r="G591" s="2" t="s">
        <v>124</v>
      </c>
      <c r="H591" s="2" t="s">
        <v>350</v>
      </c>
      <c r="I591" s="2">
        <v>1</v>
      </c>
      <c r="J591" s="2">
        <v>9976</v>
      </c>
      <c r="K591" s="2">
        <v>15</v>
      </c>
      <c r="L591" s="2">
        <v>1496.4</v>
      </c>
      <c r="M591" s="2">
        <v>8479.6</v>
      </c>
      <c r="N591" s="2" t="s">
        <v>50</v>
      </c>
      <c r="O591" s="2">
        <v>2</v>
      </c>
      <c r="P591" s="2" t="s">
        <v>24</v>
      </c>
    </row>
    <row r="592" spans="1:16" x14ac:dyDescent="0.25">
      <c r="A592" s="4">
        <v>45329</v>
      </c>
      <c r="B592" s="2" t="s">
        <v>1036</v>
      </c>
      <c r="C592" s="2" t="s">
        <v>569</v>
      </c>
      <c r="D592" t="s">
        <v>33</v>
      </c>
      <c r="E592" s="2" t="s">
        <v>34</v>
      </c>
      <c r="F592" s="2" t="s">
        <v>20</v>
      </c>
      <c r="G592" s="2" t="s">
        <v>21</v>
      </c>
      <c r="H592" s="2" t="s">
        <v>121</v>
      </c>
      <c r="I592" s="2">
        <v>1</v>
      </c>
      <c r="J592" s="2">
        <v>7279</v>
      </c>
      <c r="K592" s="2">
        <v>20</v>
      </c>
      <c r="L592" s="2">
        <v>1455.8</v>
      </c>
      <c r="M592" s="2">
        <v>5823.2</v>
      </c>
      <c r="N592" s="2" t="s">
        <v>56</v>
      </c>
      <c r="O592" s="2">
        <v>2</v>
      </c>
      <c r="P592" s="2" t="s">
        <v>24</v>
      </c>
    </row>
    <row r="593" spans="1:16" x14ac:dyDescent="0.25">
      <c r="A593" s="4">
        <v>45330</v>
      </c>
      <c r="B593" s="2" t="s">
        <v>1037</v>
      </c>
      <c r="C593" s="2" t="s">
        <v>847</v>
      </c>
      <c r="D593" t="s">
        <v>66</v>
      </c>
      <c r="E593" s="2" t="s">
        <v>19</v>
      </c>
      <c r="F593" s="2" t="s">
        <v>35</v>
      </c>
      <c r="G593" s="2" t="s">
        <v>36</v>
      </c>
      <c r="H593" s="2" t="s">
        <v>648</v>
      </c>
      <c r="I593" s="2">
        <v>3</v>
      </c>
      <c r="J593" s="2">
        <v>15116</v>
      </c>
      <c r="K593" s="2">
        <v>0</v>
      </c>
      <c r="L593" s="2">
        <v>0</v>
      </c>
      <c r="M593" s="2">
        <v>45348</v>
      </c>
      <c r="N593" s="2" t="s">
        <v>44</v>
      </c>
      <c r="O593" s="2">
        <v>8</v>
      </c>
      <c r="P593" s="2" t="s">
        <v>24</v>
      </c>
    </row>
    <row r="594" spans="1:16" x14ac:dyDescent="0.25">
      <c r="A594" s="4">
        <v>45331</v>
      </c>
      <c r="B594" s="2" t="s">
        <v>1038</v>
      </c>
      <c r="C594" s="2" t="s">
        <v>485</v>
      </c>
      <c r="D594" t="s">
        <v>59</v>
      </c>
      <c r="E594" s="2" t="s">
        <v>60</v>
      </c>
      <c r="F594" s="2" t="s">
        <v>28</v>
      </c>
      <c r="G594" s="2" t="s">
        <v>110</v>
      </c>
      <c r="H594" s="2" t="s">
        <v>956</v>
      </c>
      <c r="I594" s="2">
        <v>1</v>
      </c>
      <c r="J594" s="2">
        <v>645</v>
      </c>
      <c r="K594" s="2">
        <v>0</v>
      </c>
      <c r="L594" s="2">
        <v>0</v>
      </c>
      <c r="M594" s="2">
        <v>645</v>
      </c>
      <c r="N594" s="2" t="s">
        <v>23</v>
      </c>
      <c r="O594" s="2">
        <v>3</v>
      </c>
      <c r="P594" s="2" t="s">
        <v>24</v>
      </c>
    </row>
    <row r="595" spans="1:16" x14ac:dyDescent="0.25">
      <c r="A595" s="4">
        <v>45332</v>
      </c>
      <c r="B595" s="2" t="s">
        <v>1039</v>
      </c>
      <c r="C595" s="2" t="s">
        <v>285</v>
      </c>
      <c r="D595" t="s">
        <v>18</v>
      </c>
      <c r="E595" s="2" t="s">
        <v>19</v>
      </c>
      <c r="F595" s="2" t="s">
        <v>28</v>
      </c>
      <c r="G595" s="2" t="s">
        <v>90</v>
      </c>
      <c r="H595" s="2" t="s">
        <v>456</v>
      </c>
      <c r="I595" s="2">
        <v>1</v>
      </c>
      <c r="J595" s="2">
        <v>1827</v>
      </c>
      <c r="K595" s="2">
        <v>0</v>
      </c>
      <c r="L595" s="2">
        <v>0</v>
      </c>
      <c r="M595" s="2">
        <v>1827</v>
      </c>
      <c r="N595" s="2" t="s">
        <v>23</v>
      </c>
      <c r="O595" s="2">
        <v>2</v>
      </c>
      <c r="P595" s="2" t="s">
        <v>24</v>
      </c>
    </row>
    <row r="596" spans="1:16" x14ac:dyDescent="0.25">
      <c r="A596" s="4">
        <v>45333</v>
      </c>
      <c r="B596" s="2" t="s">
        <v>1040</v>
      </c>
      <c r="C596" s="2" t="s">
        <v>749</v>
      </c>
      <c r="D596" t="s">
        <v>174</v>
      </c>
      <c r="E596" s="2" t="s">
        <v>60</v>
      </c>
      <c r="F596" s="2" t="s">
        <v>61</v>
      </c>
      <c r="G596" s="2" t="s">
        <v>262</v>
      </c>
      <c r="H596" s="2" t="s">
        <v>310</v>
      </c>
      <c r="I596" s="2">
        <v>3</v>
      </c>
      <c r="J596" s="2">
        <v>907</v>
      </c>
      <c r="K596" s="2">
        <v>10</v>
      </c>
      <c r="L596" s="2">
        <v>272.10000000000002</v>
      </c>
      <c r="M596" s="2">
        <v>2448.9</v>
      </c>
      <c r="N596" s="2" t="s">
        <v>44</v>
      </c>
      <c r="O596" s="2">
        <v>6</v>
      </c>
      <c r="P596" s="2" t="s">
        <v>24</v>
      </c>
    </row>
    <row r="597" spans="1:16" x14ac:dyDescent="0.25">
      <c r="A597" s="4">
        <v>45334</v>
      </c>
      <c r="B597" s="2" t="s">
        <v>1041</v>
      </c>
      <c r="C597" s="2" t="s">
        <v>533</v>
      </c>
      <c r="D597" t="s">
        <v>33</v>
      </c>
      <c r="E597" s="2" t="s">
        <v>34</v>
      </c>
      <c r="F597" s="2" t="s">
        <v>28</v>
      </c>
      <c r="G597" s="2" t="s">
        <v>90</v>
      </c>
      <c r="H597" s="2" t="s">
        <v>333</v>
      </c>
      <c r="I597" s="2">
        <v>1</v>
      </c>
      <c r="J597" s="2">
        <v>3465</v>
      </c>
      <c r="K597" s="2">
        <v>20</v>
      </c>
      <c r="L597" s="2">
        <v>693</v>
      </c>
      <c r="M597" s="2">
        <v>2772</v>
      </c>
      <c r="N597" s="2" t="s">
        <v>23</v>
      </c>
      <c r="O597" s="2">
        <v>1</v>
      </c>
      <c r="P597" s="2" t="s">
        <v>24</v>
      </c>
    </row>
    <row r="598" spans="1:16" x14ac:dyDescent="0.25">
      <c r="A598" s="4">
        <v>45335</v>
      </c>
      <c r="B598" s="2" t="s">
        <v>1042</v>
      </c>
      <c r="C598" s="2" t="s">
        <v>1043</v>
      </c>
      <c r="D598" t="s">
        <v>27</v>
      </c>
      <c r="E598" s="2" t="s">
        <v>19</v>
      </c>
      <c r="F598" s="2" t="s">
        <v>20</v>
      </c>
      <c r="G598" s="2" t="s">
        <v>21</v>
      </c>
      <c r="H598" s="2" t="s">
        <v>49</v>
      </c>
      <c r="I598" s="2">
        <v>1</v>
      </c>
      <c r="J598" s="2">
        <v>7275</v>
      </c>
      <c r="K598" s="2">
        <v>15</v>
      </c>
      <c r="L598" s="2">
        <v>1091.25</v>
      </c>
      <c r="M598" s="2">
        <v>6183.75</v>
      </c>
      <c r="N598" s="2" t="s">
        <v>23</v>
      </c>
      <c r="O598" s="2">
        <v>1</v>
      </c>
      <c r="P598" s="2" t="s">
        <v>24</v>
      </c>
    </row>
    <row r="599" spans="1:16" x14ac:dyDescent="0.25">
      <c r="A599" s="4">
        <v>45336</v>
      </c>
      <c r="B599" s="2" t="s">
        <v>1044</v>
      </c>
      <c r="C599" s="2" t="s">
        <v>533</v>
      </c>
      <c r="D599" t="s">
        <v>174</v>
      </c>
      <c r="E599" s="2" t="s">
        <v>60</v>
      </c>
      <c r="F599" s="2" t="s">
        <v>71</v>
      </c>
      <c r="G599" s="2" t="s">
        <v>106</v>
      </c>
      <c r="H599" s="2" t="s">
        <v>423</v>
      </c>
      <c r="I599" s="2">
        <v>1</v>
      </c>
      <c r="J599" s="2">
        <v>815</v>
      </c>
      <c r="K599" s="2">
        <v>5</v>
      </c>
      <c r="L599" s="2">
        <v>40.75</v>
      </c>
      <c r="M599" s="2">
        <v>774.25</v>
      </c>
      <c r="N599" s="2" t="s">
        <v>50</v>
      </c>
      <c r="O599" s="2">
        <v>5</v>
      </c>
      <c r="P599" s="2" t="s">
        <v>24</v>
      </c>
    </row>
    <row r="600" spans="1:16" x14ac:dyDescent="0.25">
      <c r="A600" s="4">
        <v>45337</v>
      </c>
      <c r="B600" s="2" t="s">
        <v>1045</v>
      </c>
      <c r="C600" s="2" t="s">
        <v>1046</v>
      </c>
      <c r="D600" t="s">
        <v>41</v>
      </c>
      <c r="E600" s="2" t="s">
        <v>19</v>
      </c>
      <c r="F600" s="2" t="s">
        <v>61</v>
      </c>
      <c r="G600" s="2" t="s">
        <v>250</v>
      </c>
      <c r="H600" s="2" t="s">
        <v>366</v>
      </c>
      <c r="I600" s="2">
        <v>1</v>
      </c>
      <c r="J600" s="2">
        <v>630</v>
      </c>
      <c r="K600" s="2">
        <v>0</v>
      </c>
      <c r="L600" s="2">
        <v>0</v>
      </c>
      <c r="M600" s="2">
        <v>630</v>
      </c>
      <c r="N600" s="2" t="s">
        <v>50</v>
      </c>
      <c r="O600" s="2">
        <v>2</v>
      </c>
      <c r="P600" s="2" t="s">
        <v>24</v>
      </c>
    </row>
    <row r="601" spans="1:16" x14ac:dyDescent="0.25">
      <c r="A601" s="4">
        <v>45338</v>
      </c>
      <c r="B601" s="2" t="s">
        <v>1047</v>
      </c>
      <c r="C601" s="2" t="s">
        <v>422</v>
      </c>
      <c r="D601" t="s">
        <v>84</v>
      </c>
      <c r="E601" s="2" t="s">
        <v>85</v>
      </c>
      <c r="F601" s="2" t="s">
        <v>71</v>
      </c>
      <c r="G601" s="2" t="s">
        <v>114</v>
      </c>
      <c r="H601" s="2" t="s">
        <v>245</v>
      </c>
      <c r="I601" s="2">
        <v>2</v>
      </c>
      <c r="J601" s="2">
        <v>521</v>
      </c>
      <c r="K601" s="2">
        <v>5</v>
      </c>
      <c r="L601" s="2">
        <v>52.1</v>
      </c>
      <c r="M601" s="2">
        <v>989.9</v>
      </c>
      <c r="N601" s="2" t="s">
        <v>50</v>
      </c>
      <c r="O601" s="2">
        <v>3</v>
      </c>
      <c r="P601" s="2" t="s">
        <v>24</v>
      </c>
    </row>
    <row r="602" spans="1:16" x14ac:dyDescent="0.25">
      <c r="A602" s="4">
        <v>45339</v>
      </c>
      <c r="B602" s="2" t="s">
        <v>1048</v>
      </c>
      <c r="C602" s="2" t="s">
        <v>650</v>
      </c>
      <c r="D602" t="s">
        <v>66</v>
      </c>
      <c r="E602" s="2" t="s">
        <v>19</v>
      </c>
      <c r="F602" s="2" t="s">
        <v>61</v>
      </c>
      <c r="G602" s="2" t="s">
        <v>150</v>
      </c>
      <c r="H602" s="2" t="s">
        <v>359</v>
      </c>
      <c r="I602" s="2">
        <v>2</v>
      </c>
      <c r="J602" s="2">
        <v>200</v>
      </c>
      <c r="K602" s="2">
        <v>5</v>
      </c>
      <c r="L602" s="2">
        <v>20</v>
      </c>
      <c r="M602" s="2">
        <v>380</v>
      </c>
      <c r="N602" s="2" t="s">
        <v>23</v>
      </c>
      <c r="O602" s="2">
        <v>1</v>
      </c>
      <c r="P602" s="2" t="s">
        <v>24</v>
      </c>
    </row>
    <row r="603" spans="1:16" x14ac:dyDescent="0.25">
      <c r="A603" s="4">
        <v>45340</v>
      </c>
      <c r="B603" s="2" t="s">
        <v>1049</v>
      </c>
      <c r="C603" s="2" t="s">
        <v>40</v>
      </c>
      <c r="D603" t="s">
        <v>27</v>
      </c>
      <c r="E603" s="2" t="s">
        <v>19</v>
      </c>
      <c r="F603" s="2" t="s">
        <v>71</v>
      </c>
      <c r="G603" s="2" t="s">
        <v>86</v>
      </c>
      <c r="H603" s="2" t="s">
        <v>392</v>
      </c>
      <c r="I603" s="2">
        <v>2</v>
      </c>
      <c r="J603" s="2">
        <v>787</v>
      </c>
      <c r="K603" s="2">
        <v>0</v>
      </c>
      <c r="L603" s="2">
        <v>0</v>
      </c>
      <c r="M603" s="2">
        <v>1574</v>
      </c>
      <c r="N603" s="2" t="s">
        <v>23</v>
      </c>
      <c r="O603" s="2">
        <v>2</v>
      </c>
      <c r="P603" s="2" t="s">
        <v>24</v>
      </c>
    </row>
    <row r="604" spans="1:16" x14ac:dyDescent="0.25">
      <c r="A604" s="4">
        <v>45341</v>
      </c>
      <c r="B604" s="2" t="s">
        <v>1050</v>
      </c>
      <c r="C604" s="2" t="s">
        <v>1051</v>
      </c>
      <c r="D604" t="s">
        <v>84</v>
      </c>
      <c r="E604" s="2" t="s">
        <v>85</v>
      </c>
      <c r="F604" s="2" t="s">
        <v>20</v>
      </c>
      <c r="G604" s="2" t="s">
        <v>21</v>
      </c>
      <c r="H604" s="2" t="s">
        <v>435</v>
      </c>
      <c r="I604" s="2">
        <v>3</v>
      </c>
      <c r="J604" s="2">
        <v>369</v>
      </c>
      <c r="K604" s="2">
        <v>0</v>
      </c>
      <c r="L604" s="2">
        <v>0</v>
      </c>
      <c r="M604" s="2">
        <v>1107</v>
      </c>
      <c r="N604" s="2" t="s">
        <v>23</v>
      </c>
      <c r="O604" s="2">
        <v>5</v>
      </c>
      <c r="P604" s="2" t="s">
        <v>24</v>
      </c>
    </row>
    <row r="605" spans="1:16" x14ac:dyDescent="0.25">
      <c r="A605" s="4">
        <v>45342</v>
      </c>
      <c r="B605" s="2" t="s">
        <v>1052</v>
      </c>
      <c r="C605" s="2" t="s">
        <v>652</v>
      </c>
      <c r="D605" t="s">
        <v>18</v>
      </c>
      <c r="E605" s="2" t="s">
        <v>19</v>
      </c>
      <c r="F605" s="2" t="s">
        <v>61</v>
      </c>
      <c r="G605" s="2" t="s">
        <v>250</v>
      </c>
      <c r="H605" s="2" t="s">
        <v>251</v>
      </c>
      <c r="I605" s="2">
        <v>2</v>
      </c>
      <c r="J605" s="2">
        <v>1684</v>
      </c>
      <c r="K605" s="2">
        <v>5</v>
      </c>
      <c r="L605" s="2">
        <v>168.4</v>
      </c>
      <c r="M605" s="2">
        <v>3199.6</v>
      </c>
      <c r="N605" s="2" t="s">
        <v>50</v>
      </c>
      <c r="O605" s="2">
        <v>3</v>
      </c>
      <c r="P605" s="2" t="s">
        <v>24</v>
      </c>
    </row>
    <row r="606" spans="1:16" x14ac:dyDescent="0.25">
      <c r="A606" s="4">
        <v>45343</v>
      </c>
      <c r="B606" s="2" t="s">
        <v>1053</v>
      </c>
      <c r="C606" s="2" t="s">
        <v>173</v>
      </c>
      <c r="D606" t="s">
        <v>47</v>
      </c>
      <c r="E606" s="2" t="s">
        <v>48</v>
      </c>
      <c r="F606" s="2" t="s">
        <v>35</v>
      </c>
      <c r="G606" s="2" t="s">
        <v>130</v>
      </c>
      <c r="H606" s="2" t="s">
        <v>198</v>
      </c>
      <c r="I606" s="2">
        <v>1</v>
      </c>
      <c r="J606" s="2">
        <v>27873</v>
      </c>
      <c r="K606" s="2">
        <v>0</v>
      </c>
      <c r="L606" s="2">
        <v>0</v>
      </c>
      <c r="M606" s="2">
        <v>27873</v>
      </c>
      <c r="N606" s="2" t="s">
        <v>23</v>
      </c>
      <c r="O606" s="2">
        <v>4</v>
      </c>
      <c r="P606" s="2" t="s">
        <v>24</v>
      </c>
    </row>
    <row r="607" spans="1:16" x14ac:dyDescent="0.25">
      <c r="A607" s="4">
        <v>45344</v>
      </c>
      <c r="B607" s="2" t="s">
        <v>1054</v>
      </c>
      <c r="C607" s="2" t="s">
        <v>635</v>
      </c>
      <c r="D607" t="s">
        <v>66</v>
      </c>
      <c r="E607" s="2" t="s">
        <v>19</v>
      </c>
      <c r="F607" s="2" t="s">
        <v>20</v>
      </c>
      <c r="G607" s="2" t="s">
        <v>139</v>
      </c>
      <c r="H607" s="2" t="s">
        <v>492</v>
      </c>
      <c r="I607" s="2">
        <v>1</v>
      </c>
      <c r="J607" s="2">
        <v>2754</v>
      </c>
      <c r="K607" s="2">
        <v>0</v>
      </c>
      <c r="L607" s="2">
        <v>0</v>
      </c>
      <c r="M607" s="2">
        <v>2754</v>
      </c>
      <c r="N607" s="2" t="s">
        <v>44</v>
      </c>
      <c r="O607" s="2">
        <v>8</v>
      </c>
      <c r="P607" s="2" t="s">
        <v>92</v>
      </c>
    </row>
    <row r="608" spans="1:16" x14ac:dyDescent="0.25">
      <c r="A608" s="4">
        <v>45345</v>
      </c>
      <c r="B608" s="2" t="s">
        <v>1055</v>
      </c>
      <c r="C608" s="2" t="s">
        <v>1056</v>
      </c>
      <c r="D608" t="s">
        <v>41</v>
      </c>
      <c r="E608" s="2" t="s">
        <v>19</v>
      </c>
      <c r="F608" s="2" t="s">
        <v>71</v>
      </c>
      <c r="G608" s="2" t="s">
        <v>86</v>
      </c>
      <c r="H608" s="2" t="s">
        <v>87</v>
      </c>
      <c r="I608" s="2">
        <v>3</v>
      </c>
      <c r="J608" s="2">
        <v>841</v>
      </c>
      <c r="K608" s="2">
        <v>0</v>
      </c>
      <c r="L608" s="2">
        <v>0</v>
      </c>
      <c r="M608" s="2">
        <v>2523</v>
      </c>
      <c r="N608" s="2" t="s">
        <v>23</v>
      </c>
      <c r="O608" s="2">
        <v>3</v>
      </c>
      <c r="P608" s="2" t="s">
        <v>24</v>
      </c>
    </row>
    <row r="609" spans="1:16" x14ac:dyDescent="0.25">
      <c r="A609" s="4">
        <v>45346</v>
      </c>
      <c r="B609" s="2" t="s">
        <v>1057</v>
      </c>
      <c r="C609" s="2" t="s">
        <v>220</v>
      </c>
      <c r="D609" t="s">
        <v>33</v>
      </c>
      <c r="E609" s="2" t="s">
        <v>34</v>
      </c>
      <c r="F609" s="2" t="s">
        <v>28</v>
      </c>
      <c r="G609" s="2" t="s">
        <v>110</v>
      </c>
      <c r="H609" s="2" t="s">
        <v>111</v>
      </c>
      <c r="I609" s="2">
        <v>1</v>
      </c>
      <c r="J609" s="2">
        <v>619</v>
      </c>
      <c r="K609" s="2">
        <v>15</v>
      </c>
      <c r="L609" s="2">
        <v>92.85</v>
      </c>
      <c r="M609" s="2">
        <v>526.15</v>
      </c>
      <c r="N609" s="2" t="s">
        <v>50</v>
      </c>
      <c r="O609" s="2">
        <v>2</v>
      </c>
      <c r="P609" s="2" t="s">
        <v>24</v>
      </c>
    </row>
    <row r="610" spans="1:16" x14ac:dyDescent="0.25">
      <c r="A610" s="4">
        <v>45347</v>
      </c>
      <c r="B610" s="2" t="s">
        <v>1058</v>
      </c>
      <c r="C610" s="2" t="s">
        <v>852</v>
      </c>
      <c r="D610" t="s">
        <v>66</v>
      </c>
      <c r="E610" s="2" t="s">
        <v>19</v>
      </c>
      <c r="F610" s="2" t="s">
        <v>35</v>
      </c>
      <c r="G610" s="2" t="s">
        <v>130</v>
      </c>
      <c r="H610" s="2" t="s">
        <v>131</v>
      </c>
      <c r="I610" s="2">
        <v>1</v>
      </c>
      <c r="J610" s="2">
        <v>21915</v>
      </c>
      <c r="K610" s="2">
        <v>0</v>
      </c>
      <c r="L610" s="2">
        <v>0</v>
      </c>
      <c r="M610" s="2">
        <v>21915</v>
      </c>
      <c r="N610" s="2" t="s">
        <v>50</v>
      </c>
      <c r="O610" s="2">
        <v>3</v>
      </c>
      <c r="P610" s="2" t="s">
        <v>24</v>
      </c>
    </row>
    <row r="611" spans="1:16" x14ac:dyDescent="0.25">
      <c r="A611" s="4">
        <v>45348</v>
      </c>
      <c r="B611" s="2" t="s">
        <v>1059</v>
      </c>
      <c r="C611" s="2" t="s">
        <v>485</v>
      </c>
      <c r="D611" t="s">
        <v>174</v>
      </c>
      <c r="E611" s="2" t="s">
        <v>60</v>
      </c>
      <c r="F611" s="2" t="s">
        <v>28</v>
      </c>
      <c r="G611" s="2" t="s">
        <v>289</v>
      </c>
      <c r="H611" s="2" t="s">
        <v>554</v>
      </c>
      <c r="I611" s="2">
        <v>2</v>
      </c>
      <c r="J611" s="2">
        <v>1700</v>
      </c>
      <c r="K611" s="2">
        <v>5</v>
      </c>
      <c r="L611" s="2">
        <v>170</v>
      </c>
      <c r="M611" s="2">
        <v>3230</v>
      </c>
      <c r="N611" s="2" t="s">
        <v>50</v>
      </c>
      <c r="O611" s="2">
        <v>3</v>
      </c>
      <c r="P611" s="2" t="s">
        <v>24</v>
      </c>
    </row>
    <row r="612" spans="1:16" x14ac:dyDescent="0.25">
      <c r="A612" s="4">
        <v>45349</v>
      </c>
      <c r="B612" s="2" t="s">
        <v>1060</v>
      </c>
      <c r="C612" s="2" t="s">
        <v>523</v>
      </c>
      <c r="D612" t="s">
        <v>66</v>
      </c>
      <c r="E612" s="2" t="s">
        <v>19</v>
      </c>
      <c r="F612" s="2" t="s">
        <v>35</v>
      </c>
      <c r="G612" s="2" t="s">
        <v>36</v>
      </c>
      <c r="H612" s="2" t="s">
        <v>341</v>
      </c>
      <c r="I612" s="2">
        <v>2</v>
      </c>
      <c r="J612" s="2">
        <v>34962</v>
      </c>
      <c r="K612" s="2">
        <v>5</v>
      </c>
      <c r="L612" s="2">
        <v>3496.2</v>
      </c>
      <c r="M612" s="2">
        <v>66427.8</v>
      </c>
      <c r="N612" s="2" t="s">
        <v>56</v>
      </c>
      <c r="O612" s="2">
        <v>3</v>
      </c>
      <c r="P612" s="2" t="s">
        <v>24</v>
      </c>
    </row>
    <row r="613" spans="1:16" x14ac:dyDescent="0.25">
      <c r="A613" s="4">
        <v>45350</v>
      </c>
      <c r="B613" s="2" t="s">
        <v>1061</v>
      </c>
      <c r="C613" s="2" t="s">
        <v>1062</v>
      </c>
      <c r="D613" t="s">
        <v>47</v>
      </c>
      <c r="E613" s="2" t="s">
        <v>48</v>
      </c>
      <c r="F613" s="2" t="s">
        <v>20</v>
      </c>
      <c r="G613" s="2" t="s">
        <v>170</v>
      </c>
      <c r="H613" s="2" t="s">
        <v>563</v>
      </c>
      <c r="I613" s="2">
        <v>2</v>
      </c>
      <c r="J613" s="2">
        <v>2340</v>
      </c>
      <c r="K613" s="2">
        <v>10</v>
      </c>
      <c r="L613" s="2">
        <v>468</v>
      </c>
      <c r="M613" s="2">
        <v>4212</v>
      </c>
      <c r="N613" s="2" t="s">
        <v>50</v>
      </c>
      <c r="O613" s="2">
        <v>4</v>
      </c>
      <c r="P613" s="2" t="s">
        <v>24</v>
      </c>
    </row>
    <row r="614" spans="1:16" x14ac:dyDescent="0.25">
      <c r="A614" s="4">
        <v>45351</v>
      </c>
      <c r="B614" s="2" t="s">
        <v>1063</v>
      </c>
      <c r="C614" s="2" t="s">
        <v>1064</v>
      </c>
      <c r="D614" t="s">
        <v>33</v>
      </c>
      <c r="E614" s="2" t="s">
        <v>34</v>
      </c>
      <c r="F614" s="2" t="s">
        <v>61</v>
      </c>
      <c r="G614" s="2" t="s">
        <v>262</v>
      </c>
      <c r="H614" s="2" t="s">
        <v>767</v>
      </c>
      <c r="I614" s="2">
        <v>2</v>
      </c>
      <c r="J614" s="2">
        <v>1436</v>
      </c>
      <c r="K614" s="2">
        <v>0</v>
      </c>
      <c r="L614" s="2">
        <v>0</v>
      </c>
      <c r="M614" s="2">
        <v>2872</v>
      </c>
      <c r="N614" s="2" t="s">
        <v>44</v>
      </c>
      <c r="O614" s="2">
        <v>4</v>
      </c>
      <c r="P614" s="2" t="s">
        <v>24</v>
      </c>
    </row>
    <row r="615" spans="1:16" x14ac:dyDescent="0.25">
      <c r="A615" s="4">
        <v>45352</v>
      </c>
      <c r="B615" s="2" t="s">
        <v>1065</v>
      </c>
      <c r="C615" s="2" t="s">
        <v>917</v>
      </c>
      <c r="D615" t="s">
        <v>59</v>
      </c>
      <c r="E615" s="2" t="s">
        <v>60</v>
      </c>
      <c r="F615" s="2" t="s">
        <v>71</v>
      </c>
      <c r="G615" s="2" t="s">
        <v>114</v>
      </c>
      <c r="H615" s="2" t="s">
        <v>178</v>
      </c>
      <c r="I615" s="2">
        <v>1</v>
      </c>
      <c r="J615" s="2">
        <v>717</v>
      </c>
      <c r="K615" s="2">
        <v>5</v>
      </c>
      <c r="L615" s="2">
        <v>35.85</v>
      </c>
      <c r="M615" s="2">
        <v>681.15</v>
      </c>
      <c r="N615" s="2" t="s">
        <v>23</v>
      </c>
      <c r="O615" s="2">
        <v>2</v>
      </c>
      <c r="P615" s="2" t="s">
        <v>24</v>
      </c>
    </row>
    <row r="616" spans="1:16" x14ac:dyDescent="0.25">
      <c r="A616" s="4">
        <v>45353</v>
      </c>
      <c r="B616" s="2" t="s">
        <v>1066</v>
      </c>
      <c r="C616" s="2" t="s">
        <v>173</v>
      </c>
      <c r="D616" t="s">
        <v>18</v>
      </c>
      <c r="E616" s="2" t="s">
        <v>19</v>
      </c>
      <c r="F616" s="2" t="s">
        <v>35</v>
      </c>
      <c r="G616" s="2" t="s">
        <v>36</v>
      </c>
      <c r="H616" s="2" t="s">
        <v>164</v>
      </c>
      <c r="I616" s="2">
        <v>1</v>
      </c>
      <c r="J616" s="2">
        <v>26671</v>
      </c>
      <c r="K616" s="2">
        <v>0</v>
      </c>
      <c r="L616" s="2">
        <v>0</v>
      </c>
      <c r="M616" s="2">
        <v>26671</v>
      </c>
      <c r="N616" s="2" t="s">
        <v>44</v>
      </c>
      <c r="O616" s="2">
        <v>2</v>
      </c>
      <c r="P616" s="2" t="s">
        <v>24</v>
      </c>
    </row>
    <row r="617" spans="1:16" x14ac:dyDescent="0.25">
      <c r="A617" s="4">
        <v>45354</v>
      </c>
      <c r="B617" s="2" t="s">
        <v>1067</v>
      </c>
      <c r="C617" s="2" t="s">
        <v>594</v>
      </c>
      <c r="D617" t="s">
        <v>66</v>
      </c>
      <c r="E617" s="2" t="s">
        <v>19</v>
      </c>
      <c r="F617" s="2" t="s">
        <v>35</v>
      </c>
      <c r="G617" s="2" t="s">
        <v>67</v>
      </c>
      <c r="H617" s="2" t="s">
        <v>322</v>
      </c>
      <c r="I617" s="2">
        <v>1</v>
      </c>
      <c r="J617" s="2">
        <v>29186</v>
      </c>
      <c r="K617" s="2">
        <v>15</v>
      </c>
      <c r="L617" s="2">
        <v>4377.8999999999996</v>
      </c>
      <c r="M617" s="2">
        <v>24808.1</v>
      </c>
      <c r="N617" s="2" t="s">
        <v>23</v>
      </c>
      <c r="O617" s="2">
        <v>1</v>
      </c>
      <c r="P617" s="2" t="s">
        <v>24</v>
      </c>
    </row>
    <row r="618" spans="1:16" x14ac:dyDescent="0.25">
      <c r="A618" s="4">
        <v>45355</v>
      </c>
      <c r="B618" s="2" t="s">
        <v>1068</v>
      </c>
      <c r="C618" s="2" t="s">
        <v>858</v>
      </c>
      <c r="D618" t="s">
        <v>84</v>
      </c>
      <c r="E618" s="2" t="s">
        <v>85</v>
      </c>
      <c r="F618" s="2" t="s">
        <v>35</v>
      </c>
      <c r="G618" s="2" t="s">
        <v>124</v>
      </c>
      <c r="H618" s="2" t="s">
        <v>142</v>
      </c>
      <c r="I618" s="2">
        <v>1</v>
      </c>
      <c r="J618" s="2">
        <v>1234</v>
      </c>
      <c r="K618" s="2">
        <v>0</v>
      </c>
      <c r="L618" s="2">
        <v>0</v>
      </c>
      <c r="M618" s="2">
        <v>1234</v>
      </c>
      <c r="N618" s="2" t="s">
        <v>44</v>
      </c>
      <c r="O618" s="2">
        <v>5</v>
      </c>
      <c r="P618" s="2" t="s">
        <v>24</v>
      </c>
    </row>
    <row r="619" spans="1:16" x14ac:dyDescent="0.25">
      <c r="A619" s="4">
        <v>45356</v>
      </c>
      <c r="B619" s="2" t="s">
        <v>1069</v>
      </c>
      <c r="C619" s="2" t="s">
        <v>452</v>
      </c>
      <c r="D619" t="s">
        <v>27</v>
      </c>
      <c r="E619" s="2" t="s">
        <v>19</v>
      </c>
      <c r="F619" s="2" t="s">
        <v>35</v>
      </c>
      <c r="G619" s="2" t="s">
        <v>36</v>
      </c>
      <c r="H619" s="2" t="s">
        <v>98</v>
      </c>
      <c r="I619" s="2">
        <v>1</v>
      </c>
      <c r="J619" s="2">
        <v>39703</v>
      </c>
      <c r="K619" s="2">
        <v>10</v>
      </c>
      <c r="L619" s="2">
        <v>3970.3</v>
      </c>
      <c r="M619" s="2">
        <v>35732.699999999997</v>
      </c>
      <c r="N619" s="2" t="s">
        <v>44</v>
      </c>
      <c r="O619" s="2">
        <v>5</v>
      </c>
      <c r="P619" s="2" t="s">
        <v>24</v>
      </c>
    </row>
    <row r="620" spans="1:16" x14ac:dyDescent="0.25">
      <c r="A620" s="4">
        <v>45357</v>
      </c>
      <c r="B620" s="2" t="s">
        <v>1070</v>
      </c>
      <c r="C620" s="2" t="s">
        <v>530</v>
      </c>
      <c r="D620" t="s">
        <v>59</v>
      </c>
      <c r="E620" s="2" t="s">
        <v>60</v>
      </c>
      <c r="F620" s="2" t="s">
        <v>35</v>
      </c>
      <c r="G620" s="2" t="s">
        <v>67</v>
      </c>
      <c r="H620" s="2" t="s">
        <v>361</v>
      </c>
      <c r="I620" s="2">
        <v>2</v>
      </c>
      <c r="J620" s="2">
        <v>4640</v>
      </c>
      <c r="K620" s="2">
        <v>0</v>
      </c>
      <c r="L620" s="2">
        <v>0</v>
      </c>
      <c r="M620" s="2">
        <v>9280</v>
      </c>
      <c r="N620" s="2" t="s">
        <v>23</v>
      </c>
      <c r="O620" s="2">
        <v>2</v>
      </c>
      <c r="P620" s="2" t="s">
        <v>24</v>
      </c>
    </row>
    <row r="621" spans="1:16" x14ac:dyDescent="0.25">
      <c r="A621" s="4">
        <v>45358</v>
      </c>
      <c r="B621" s="2" t="s">
        <v>1071</v>
      </c>
      <c r="C621" s="2" t="s">
        <v>147</v>
      </c>
      <c r="D621" t="s">
        <v>47</v>
      </c>
      <c r="E621" s="2" t="s">
        <v>48</v>
      </c>
      <c r="F621" s="2" t="s">
        <v>71</v>
      </c>
      <c r="G621" s="2" t="s">
        <v>76</v>
      </c>
      <c r="H621" s="2" t="s">
        <v>402</v>
      </c>
      <c r="I621" s="2">
        <v>1</v>
      </c>
      <c r="J621" s="2">
        <v>297</v>
      </c>
      <c r="K621" s="2">
        <v>0</v>
      </c>
      <c r="L621" s="2">
        <v>0</v>
      </c>
      <c r="M621" s="2">
        <v>297</v>
      </c>
      <c r="N621" s="2" t="s">
        <v>23</v>
      </c>
      <c r="O621" s="2">
        <v>2</v>
      </c>
      <c r="P621" s="2" t="s">
        <v>24</v>
      </c>
    </row>
    <row r="622" spans="1:16" x14ac:dyDescent="0.25">
      <c r="A622" s="4">
        <v>45359</v>
      </c>
      <c r="B622" s="2" t="s">
        <v>1072</v>
      </c>
      <c r="C622" s="2" t="s">
        <v>708</v>
      </c>
      <c r="D622" t="s">
        <v>47</v>
      </c>
      <c r="E622" s="2" t="s">
        <v>48</v>
      </c>
      <c r="F622" s="2" t="s">
        <v>35</v>
      </c>
      <c r="G622" s="2" t="s">
        <v>36</v>
      </c>
      <c r="H622" s="2" t="s">
        <v>648</v>
      </c>
      <c r="I622" s="2">
        <v>1</v>
      </c>
      <c r="J622" s="2">
        <v>4826</v>
      </c>
      <c r="K622" s="2">
        <v>0</v>
      </c>
      <c r="L622" s="2">
        <v>0</v>
      </c>
      <c r="M622" s="2">
        <v>4826</v>
      </c>
      <c r="N622" s="2" t="s">
        <v>44</v>
      </c>
      <c r="O622" s="2">
        <v>3</v>
      </c>
      <c r="P622" s="2" t="s">
        <v>24</v>
      </c>
    </row>
    <row r="623" spans="1:16" x14ac:dyDescent="0.25">
      <c r="A623" s="4">
        <v>45360</v>
      </c>
      <c r="B623" s="2" t="s">
        <v>1073</v>
      </c>
      <c r="C623" s="2" t="s">
        <v>824</v>
      </c>
      <c r="D623" t="s">
        <v>27</v>
      </c>
      <c r="E623" s="2" t="s">
        <v>19</v>
      </c>
      <c r="F623" s="2" t="s">
        <v>71</v>
      </c>
      <c r="G623" s="2" t="s">
        <v>76</v>
      </c>
      <c r="H623" s="2" t="s">
        <v>95</v>
      </c>
      <c r="I623" s="2">
        <v>3</v>
      </c>
      <c r="J623" s="2">
        <v>845</v>
      </c>
      <c r="K623" s="2">
        <v>10</v>
      </c>
      <c r="L623" s="2">
        <v>253.5</v>
      </c>
      <c r="M623" s="2">
        <v>2281.5</v>
      </c>
      <c r="N623" s="2" t="s">
        <v>38</v>
      </c>
      <c r="O623" s="2">
        <v>3</v>
      </c>
      <c r="P623" s="2" t="s">
        <v>24</v>
      </c>
    </row>
    <row r="624" spans="1:16" x14ac:dyDescent="0.25">
      <c r="A624" s="4">
        <v>45361</v>
      </c>
      <c r="B624" s="2" t="s">
        <v>1074</v>
      </c>
      <c r="C624" s="2" t="s">
        <v>437</v>
      </c>
      <c r="D624" t="s">
        <v>47</v>
      </c>
      <c r="E624" s="2" t="s">
        <v>48</v>
      </c>
      <c r="F624" s="2" t="s">
        <v>61</v>
      </c>
      <c r="G624" s="2" t="s">
        <v>262</v>
      </c>
      <c r="H624" s="2" t="s">
        <v>310</v>
      </c>
      <c r="I624" s="2">
        <v>1</v>
      </c>
      <c r="J624" s="2">
        <v>1196</v>
      </c>
      <c r="K624" s="2">
        <v>10</v>
      </c>
      <c r="L624" s="2">
        <v>119.6</v>
      </c>
      <c r="M624" s="2">
        <v>1076.4000000000001</v>
      </c>
      <c r="N624" s="2" t="s">
        <v>50</v>
      </c>
      <c r="O624" s="2">
        <v>3</v>
      </c>
      <c r="P624" s="2" t="s">
        <v>24</v>
      </c>
    </row>
    <row r="625" spans="1:16" x14ac:dyDescent="0.25">
      <c r="A625" s="4">
        <v>45362</v>
      </c>
      <c r="B625" s="2" t="s">
        <v>1075</v>
      </c>
      <c r="C625" s="2" t="s">
        <v>996</v>
      </c>
      <c r="D625" t="s">
        <v>18</v>
      </c>
      <c r="E625" s="2" t="s">
        <v>19</v>
      </c>
      <c r="F625" s="2" t="s">
        <v>71</v>
      </c>
      <c r="G625" s="2" t="s">
        <v>114</v>
      </c>
      <c r="H625" s="2" t="s">
        <v>178</v>
      </c>
      <c r="I625" s="2">
        <v>1</v>
      </c>
      <c r="J625" s="2">
        <v>172</v>
      </c>
      <c r="K625" s="2">
        <v>0</v>
      </c>
      <c r="L625" s="2">
        <v>0</v>
      </c>
      <c r="M625" s="2">
        <v>172</v>
      </c>
      <c r="N625" s="2" t="s">
        <v>50</v>
      </c>
      <c r="O625" s="2">
        <v>2</v>
      </c>
      <c r="P625" s="2" t="s">
        <v>24</v>
      </c>
    </row>
    <row r="626" spans="1:16" x14ac:dyDescent="0.25">
      <c r="A626" s="4">
        <v>45363</v>
      </c>
      <c r="B626" s="2" t="s">
        <v>1076</v>
      </c>
      <c r="C626" s="2" t="s">
        <v>445</v>
      </c>
      <c r="D626" t="s">
        <v>18</v>
      </c>
      <c r="E626" s="2" t="s">
        <v>19</v>
      </c>
      <c r="F626" s="2" t="s">
        <v>28</v>
      </c>
      <c r="G626" s="2" t="s">
        <v>29</v>
      </c>
      <c r="H626" s="2" t="s">
        <v>30</v>
      </c>
      <c r="I626" s="2">
        <v>2</v>
      </c>
      <c r="J626" s="2">
        <v>1499</v>
      </c>
      <c r="K626" s="2">
        <v>10</v>
      </c>
      <c r="L626" s="2">
        <v>299.8</v>
      </c>
      <c r="M626" s="2">
        <v>2698.2</v>
      </c>
      <c r="N626" s="2" t="s">
        <v>23</v>
      </c>
      <c r="O626" s="2">
        <v>3</v>
      </c>
      <c r="P626" s="2" t="s">
        <v>24</v>
      </c>
    </row>
    <row r="627" spans="1:16" x14ac:dyDescent="0.25">
      <c r="A627" s="4">
        <v>45364</v>
      </c>
      <c r="B627" s="2" t="s">
        <v>1077</v>
      </c>
      <c r="C627" s="2" t="s">
        <v>1078</v>
      </c>
      <c r="D627" t="s">
        <v>18</v>
      </c>
      <c r="E627" s="2" t="s">
        <v>19</v>
      </c>
      <c r="F627" s="2" t="s">
        <v>28</v>
      </c>
      <c r="G627" s="2" t="s">
        <v>289</v>
      </c>
      <c r="H627" s="2" t="s">
        <v>300</v>
      </c>
      <c r="I627" s="2">
        <v>1</v>
      </c>
      <c r="J627" s="2">
        <v>842</v>
      </c>
      <c r="K627" s="2">
        <v>15</v>
      </c>
      <c r="L627" s="2">
        <v>126.3</v>
      </c>
      <c r="M627" s="2">
        <v>715.7</v>
      </c>
      <c r="N627" s="2" t="s">
        <v>56</v>
      </c>
      <c r="O627" s="2">
        <v>2</v>
      </c>
      <c r="P627" s="2" t="s">
        <v>24</v>
      </c>
    </row>
    <row r="628" spans="1:16" x14ac:dyDescent="0.25">
      <c r="A628" s="4">
        <v>45365</v>
      </c>
      <c r="B628" s="2" t="s">
        <v>1079</v>
      </c>
      <c r="C628" s="2" t="s">
        <v>667</v>
      </c>
      <c r="D628" t="s">
        <v>47</v>
      </c>
      <c r="E628" s="2" t="s">
        <v>48</v>
      </c>
      <c r="F628" s="2" t="s">
        <v>28</v>
      </c>
      <c r="G628" s="2" t="s">
        <v>188</v>
      </c>
      <c r="H628" s="2" t="s">
        <v>206</v>
      </c>
      <c r="I628" s="2">
        <v>1</v>
      </c>
      <c r="J628" s="2">
        <v>973</v>
      </c>
      <c r="K628" s="2">
        <v>20</v>
      </c>
      <c r="L628" s="2">
        <v>194.6</v>
      </c>
      <c r="M628" s="2">
        <v>778.4</v>
      </c>
      <c r="N628" s="2" t="s">
        <v>44</v>
      </c>
      <c r="O628" s="2">
        <v>2</v>
      </c>
      <c r="P628" s="2" t="s">
        <v>24</v>
      </c>
    </row>
    <row r="629" spans="1:16" x14ac:dyDescent="0.25">
      <c r="A629" s="4">
        <v>45366</v>
      </c>
      <c r="B629" s="2" t="s">
        <v>1080</v>
      </c>
      <c r="C629" s="2" t="s">
        <v>445</v>
      </c>
      <c r="D629" t="s">
        <v>53</v>
      </c>
      <c r="E629" s="2" t="s">
        <v>53</v>
      </c>
      <c r="F629" s="2" t="s">
        <v>71</v>
      </c>
      <c r="G629" s="2" t="s">
        <v>114</v>
      </c>
      <c r="H629" s="2" t="s">
        <v>543</v>
      </c>
      <c r="I629" s="2">
        <v>2</v>
      </c>
      <c r="J629" s="2">
        <v>551</v>
      </c>
      <c r="K629" s="2">
        <v>5</v>
      </c>
      <c r="L629" s="2">
        <v>55.1</v>
      </c>
      <c r="M629" s="2">
        <v>1046.9000000000001</v>
      </c>
      <c r="N629" s="2" t="s">
        <v>56</v>
      </c>
      <c r="O629" s="2">
        <v>2</v>
      </c>
      <c r="P629" s="2" t="s">
        <v>24</v>
      </c>
    </row>
    <row r="630" spans="1:16" x14ac:dyDescent="0.25">
      <c r="A630" s="4">
        <v>45367</v>
      </c>
      <c r="B630" s="2" t="s">
        <v>1081</v>
      </c>
      <c r="C630" s="2" t="s">
        <v>197</v>
      </c>
      <c r="D630" t="s">
        <v>53</v>
      </c>
      <c r="E630" s="2" t="s">
        <v>53</v>
      </c>
      <c r="F630" s="2" t="s">
        <v>20</v>
      </c>
      <c r="G630" s="2" t="s">
        <v>170</v>
      </c>
      <c r="H630" s="2" t="s">
        <v>286</v>
      </c>
      <c r="I630" s="2">
        <v>3</v>
      </c>
      <c r="J630" s="2">
        <v>3394</v>
      </c>
      <c r="K630" s="2">
        <v>5</v>
      </c>
      <c r="L630" s="2">
        <v>509.1</v>
      </c>
      <c r="M630" s="2">
        <v>9672.9</v>
      </c>
      <c r="N630" s="2" t="s">
        <v>50</v>
      </c>
      <c r="O630" s="2">
        <v>3</v>
      </c>
      <c r="P630" s="2" t="s">
        <v>24</v>
      </c>
    </row>
    <row r="631" spans="1:16" x14ac:dyDescent="0.25">
      <c r="A631" s="4">
        <v>45368</v>
      </c>
      <c r="B631" s="2" t="s">
        <v>1082</v>
      </c>
      <c r="C631" s="2" t="s">
        <v>297</v>
      </c>
      <c r="D631" t="s">
        <v>18</v>
      </c>
      <c r="E631" s="2" t="s">
        <v>19</v>
      </c>
      <c r="F631" s="2" t="s">
        <v>61</v>
      </c>
      <c r="G631" s="2" t="s">
        <v>150</v>
      </c>
      <c r="H631" s="2" t="s">
        <v>209</v>
      </c>
      <c r="I631" s="2">
        <v>2</v>
      </c>
      <c r="J631" s="2">
        <v>1282</v>
      </c>
      <c r="K631" s="2">
        <v>0</v>
      </c>
      <c r="L631" s="2">
        <v>0</v>
      </c>
      <c r="M631" s="2">
        <v>2564</v>
      </c>
      <c r="N631" s="2" t="s">
        <v>50</v>
      </c>
      <c r="O631" s="2">
        <v>2</v>
      </c>
      <c r="P631" s="2" t="s">
        <v>24</v>
      </c>
    </row>
    <row r="632" spans="1:16" x14ac:dyDescent="0.25">
      <c r="A632" s="4">
        <v>45369</v>
      </c>
      <c r="B632" s="2" t="s">
        <v>1083</v>
      </c>
      <c r="C632" s="2" t="s">
        <v>660</v>
      </c>
      <c r="D632" t="s">
        <v>41</v>
      </c>
      <c r="E632" s="2" t="s">
        <v>19</v>
      </c>
      <c r="F632" s="2" t="s">
        <v>61</v>
      </c>
      <c r="G632" s="2" t="s">
        <v>262</v>
      </c>
      <c r="H632" s="2" t="s">
        <v>310</v>
      </c>
      <c r="I632" s="2">
        <v>1</v>
      </c>
      <c r="J632" s="2">
        <v>538</v>
      </c>
      <c r="K632" s="2">
        <v>0</v>
      </c>
      <c r="L632" s="2">
        <v>0</v>
      </c>
      <c r="M632" s="2">
        <v>538</v>
      </c>
      <c r="N632" s="2" t="s">
        <v>50</v>
      </c>
      <c r="O632" s="2">
        <v>3</v>
      </c>
      <c r="P632" s="2" t="s">
        <v>24</v>
      </c>
    </row>
    <row r="633" spans="1:16" x14ac:dyDescent="0.25">
      <c r="A633" s="4">
        <v>45370</v>
      </c>
      <c r="B633" s="2" t="s">
        <v>1084</v>
      </c>
      <c r="C633" s="2" t="s">
        <v>1085</v>
      </c>
      <c r="D633" t="s">
        <v>59</v>
      </c>
      <c r="E633" s="2" t="s">
        <v>60</v>
      </c>
      <c r="F633" s="2" t="s">
        <v>61</v>
      </c>
      <c r="G633" s="2" t="s">
        <v>200</v>
      </c>
      <c r="H633" s="2" t="s">
        <v>226</v>
      </c>
      <c r="I633" s="2">
        <v>1</v>
      </c>
      <c r="J633" s="2">
        <v>1962</v>
      </c>
      <c r="K633" s="2">
        <v>20</v>
      </c>
      <c r="L633" s="2">
        <v>392.4</v>
      </c>
      <c r="M633" s="2">
        <v>1569.6</v>
      </c>
      <c r="N633" s="2" t="s">
        <v>23</v>
      </c>
      <c r="O633" s="2">
        <v>4</v>
      </c>
      <c r="P633" s="2" t="s">
        <v>24</v>
      </c>
    </row>
    <row r="634" spans="1:16" x14ac:dyDescent="0.25">
      <c r="A634" s="4">
        <v>45371</v>
      </c>
      <c r="B634" s="2" t="s">
        <v>1086</v>
      </c>
      <c r="C634" s="2" t="s">
        <v>681</v>
      </c>
      <c r="D634" t="s">
        <v>59</v>
      </c>
      <c r="E634" s="2" t="s">
        <v>60</v>
      </c>
      <c r="F634" s="2" t="s">
        <v>20</v>
      </c>
      <c r="G634" s="2" t="s">
        <v>139</v>
      </c>
      <c r="H634" s="2" t="s">
        <v>646</v>
      </c>
      <c r="I634" s="2">
        <v>2</v>
      </c>
      <c r="J634" s="2">
        <v>5632</v>
      </c>
      <c r="K634" s="2">
        <v>10</v>
      </c>
      <c r="L634" s="2">
        <v>1126.4000000000001</v>
      </c>
      <c r="M634" s="2">
        <v>10137.6</v>
      </c>
      <c r="N634" s="2" t="s">
        <v>23</v>
      </c>
      <c r="O634" s="2">
        <v>1</v>
      </c>
      <c r="P634" s="2" t="s">
        <v>24</v>
      </c>
    </row>
    <row r="635" spans="1:16" x14ac:dyDescent="0.25">
      <c r="A635" s="4">
        <v>45372</v>
      </c>
      <c r="B635" s="2" t="s">
        <v>1087</v>
      </c>
      <c r="C635" s="2" t="s">
        <v>169</v>
      </c>
      <c r="D635" t="s">
        <v>174</v>
      </c>
      <c r="E635" s="2" t="s">
        <v>60</v>
      </c>
      <c r="F635" s="2" t="s">
        <v>20</v>
      </c>
      <c r="G635" s="2" t="s">
        <v>42</v>
      </c>
      <c r="H635" s="2" t="s">
        <v>133</v>
      </c>
      <c r="I635" s="2">
        <v>3</v>
      </c>
      <c r="J635" s="2">
        <v>2326</v>
      </c>
      <c r="K635" s="2">
        <v>20</v>
      </c>
      <c r="L635" s="2">
        <v>1395.6</v>
      </c>
      <c r="M635" s="2">
        <v>5582.4</v>
      </c>
      <c r="N635" s="2" t="s">
        <v>44</v>
      </c>
      <c r="O635" s="2">
        <v>2</v>
      </c>
      <c r="P635" s="2" t="s">
        <v>24</v>
      </c>
    </row>
    <row r="636" spans="1:16" x14ac:dyDescent="0.25">
      <c r="A636" s="4">
        <v>45373</v>
      </c>
      <c r="B636" s="2" t="s">
        <v>1088</v>
      </c>
      <c r="C636" s="2" t="s">
        <v>826</v>
      </c>
      <c r="D636" t="s">
        <v>59</v>
      </c>
      <c r="E636" s="2" t="s">
        <v>60</v>
      </c>
      <c r="F636" s="2" t="s">
        <v>71</v>
      </c>
      <c r="G636" s="2" t="s">
        <v>114</v>
      </c>
      <c r="H636" s="2" t="s">
        <v>115</v>
      </c>
      <c r="I636" s="2">
        <v>3</v>
      </c>
      <c r="J636" s="2">
        <v>567</v>
      </c>
      <c r="K636" s="2">
        <v>10</v>
      </c>
      <c r="L636" s="2">
        <v>170.1</v>
      </c>
      <c r="M636" s="2">
        <v>1530.9</v>
      </c>
      <c r="N636" s="2" t="s">
        <v>50</v>
      </c>
      <c r="O636" s="2">
        <v>3</v>
      </c>
      <c r="P636" s="2" t="s">
        <v>24</v>
      </c>
    </row>
    <row r="637" spans="1:16" x14ac:dyDescent="0.25">
      <c r="A637" s="4">
        <v>45374</v>
      </c>
      <c r="B637" s="2" t="s">
        <v>1089</v>
      </c>
      <c r="C637" s="2" t="s">
        <v>79</v>
      </c>
      <c r="D637" t="s">
        <v>59</v>
      </c>
      <c r="E637" s="2" t="s">
        <v>60</v>
      </c>
      <c r="F637" s="2" t="s">
        <v>35</v>
      </c>
      <c r="G637" s="2" t="s">
        <v>67</v>
      </c>
      <c r="H637" s="2" t="s">
        <v>322</v>
      </c>
      <c r="I637" s="2">
        <v>2</v>
      </c>
      <c r="J637" s="2">
        <v>23070</v>
      </c>
      <c r="K637" s="2">
        <v>15</v>
      </c>
      <c r="L637" s="2">
        <v>6921</v>
      </c>
      <c r="M637" s="2">
        <v>39219</v>
      </c>
      <c r="N637" s="2" t="s">
        <v>50</v>
      </c>
      <c r="O637" s="2">
        <v>2</v>
      </c>
      <c r="P637" s="2" t="s">
        <v>24</v>
      </c>
    </row>
    <row r="638" spans="1:16" x14ac:dyDescent="0.25">
      <c r="A638" s="4">
        <v>45375</v>
      </c>
      <c r="B638" s="2" t="s">
        <v>1090</v>
      </c>
      <c r="C638" s="2" t="s">
        <v>225</v>
      </c>
      <c r="D638" t="s">
        <v>18</v>
      </c>
      <c r="E638" s="2" t="s">
        <v>19</v>
      </c>
      <c r="F638" s="2" t="s">
        <v>35</v>
      </c>
      <c r="G638" s="2" t="s">
        <v>67</v>
      </c>
      <c r="H638" s="2" t="s">
        <v>364</v>
      </c>
      <c r="I638" s="2">
        <v>1</v>
      </c>
      <c r="J638" s="2">
        <v>19396</v>
      </c>
      <c r="K638" s="2">
        <v>0</v>
      </c>
      <c r="L638" s="2">
        <v>0</v>
      </c>
      <c r="M638" s="2">
        <v>19396</v>
      </c>
      <c r="N638" s="2" t="s">
        <v>23</v>
      </c>
      <c r="O638" s="2">
        <v>2</v>
      </c>
      <c r="P638" s="2" t="s">
        <v>24</v>
      </c>
    </row>
    <row r="639" spans="1:16" x14ac:dyDescent="0.25">
      <c r="A639" s="4">
        <v>45376</v>
      </c>
      <c r="B639" s="2" t="s">
        <v>1091</v>
      </c>
      <c r="C639" s="2" t="s">
        <v>1092</v>
      </c>
      <c r="D639" t="s">
        <v>66</v>
      </c>
      <c r="E639" s="2" t="s">
        <v>19</v>
      </c>
      <c r="F639" s="2" t="s">
        <v>71</v>
      </c>
      <c r="G639" s="2" t="s">
        <v>76</v>
      </c>
      <c r="H639" s="2" t="s">
        <v>77</v>
      </c>
      <c r="I639" s="2">
        <v>1</v>
      </c>
      <c r="J639" s="2">
        <v>887</v>
      </c>
      <c r="K639" s="2">
        <v>5</v>
      </c>
      <c r="L639" s="2">
        <v>44.35</v>
      </c>
      <c r="M639" s="2">
        <v>842.65</v>
      </c>
      <c r="N639" s="2" t="s">
        <v>44</v>
      </c>
      <c r="O639" s="2">
        <v>4</v>
      </c>
      <c r="P639" s="2" t="s">
        <v>24</v>
      </c>
    </row>
    <row r="640" spans="1:16" x14ac:dyDescent="0.25">
      <c r="A640" s="4">
        <v>45377</v>
      </c>
      <c r="B640" s="2" t="s">
        <v>1093</v>
      </c>
      <c r="C640" s="2" t="s">
        <v>40</v>
      </c>
      <c r="D640" t="s">
        <v>33</v>
      </c>
      <c r="E640" s="2" t="s">
        <v>34</v>
      </c>
      <c r="F640" s="2" t="s">
        <v>61</v>
      </c>
      <c r="G640" s="2" t="s">
        <v>262</v>
      </c>
      <c r="H640" s="2" t="s">
        <v>310</v>
      </c>
      <c r="I640" s="2">
        <v>1</v>
      </c>
      <c r="J640" s="2">
        <v>1143</v>
      </c>
      <c r="K640" s="2">
        <v>10</v>
      </c>
      <c r="L640" s="2">
        <v>114.3</v>
      </c>
      <c r="M640" s="2">
        <v>1028.7</v>
      </c>
      <c r="N640" s="2" t="s">
        <v>23</v>
      </c>
      <c r="O640" s="2">
        <v>2</v>
      </c>
      <c r="P640" s="2" t="s">
        <v>24</v>
      </c>
    </row>
    <row r="641" spans="1:16" x14ac:dyDescent="0.25">
      <c r="A641" s="4">
        <v>45378</v>
      </c>
      <c r="B641" s="2" t="s">
        <v>1094</v>
      </c>
      <c r="C641" s="2" t="s">
        <v>1478</v>
      </c>
      <c r="D641" t="s">
        <v>18</v>
      </c>
      <c r="E641" s="2" t="s">
        <v>19</v>
      </c>
      <c r="F641" s="2" t="s">
        <v>35</v>
      </c>
      <c r="G641" s="2" t="s">
        <v>80</v>
      </c>
      <c r="H641" s="2" t="s">
        <v>81</v>
      </c>
      <c r="I641" s="2">
        <v>2</v>
      </c>
      <c r="J641" s="2">
        <v>25119</v>
      </c>
      <c r="K641" s="2">
        <v>5</v>
      </c>
      <c r="L641" s="2">
        <v>2511.9</v>
      </c>
      <c r="M641" s="2">
        <v>47726.1</v>
      </c>
      <c r="N641" s="2" t="s">
        <v>23</v>
      </c>
      <c r="O641" s="2">
        <v>2</v>
      </c>
      <c r="P641" s="2" t="s">
        <v>24</v>
      </c>
    </row>
    <row r="642" spans="1:16" x14ac:dyDescent="0.25">
      <c r="A642" s="4">
        <v>45379</v>
      </c>
      <c r="B642" s="2" t="s">
        <v>1095</v>
      </c>
      <c r="C642" s="2" t="s">
        <v>1019</v>
      </c>
      <c r="D642" t="s">
        <v>47</v>
      </c>
      <c r="E642" s="2" t="s">
        <v>48</v>
      </c>
      <c r="F642" s="2" t="s">
        <v>28</v>
      </c>
      <c r="G642" s="2" t="s">
        <v>289</v>
      </c>
      <c r="H642" s="2" t="s">
        <v>554</v>
      </c>
      <c r="I642" s="2">
        <v>1</v>
      </c>
      <c r="J642" s="2">
        <v>3316</v>
      </c>
      <c r="K642" s="2">
        <v>0</v>
      </c>
      <c r="L642" s="2">
        <v>0</v>
      </c>
      <c r="M642" s="2">
        <v>3316</v>
      </c>
      <c r="N642" s="2" t="s">
        <v>44</v>
      </c>
      <c r="O642" s="2">
        <v>3</v>
      </c>
      <c r="P642" s="2" t="s">
        <v>24</v>
      </c>
    </row>
    <row r="643" spans="1:16" x14ac:dyDescent="0.25">
      <c r="A643" s="4">
        <v>45380</v>
      </c>
      <c r="B643" s="2" t="s">
        <v>1096</v>
      </c>
      <c r="C643" s="2" t="s">
        <v>26</v>
      </c>
      <c r="D643" t="s">
        <v>41</v>
      </c>
      <c r="E643" s="2" t="s">
        <v>19</v>
      </c>
      <c r="F643" s="2" t="s">
        <v>35</v>
      </c>
      <c r="G643" s="2" t="s">
        <v>124</v>
      </c>
      <c r="H643" s="2" t="s">
        <v>689</v>
      </c>
      <c r="I643" s="2">
        <v>3</v>
      </c>
      <c r="J643" s="2">
        <v>16788</v>
      </c>
      <c r="K643" s="2">
        <v>10</v>
      </c>
      <c r="L643" s="2">
        <v>5036.3999999999996</v>
      </c>
      <c r="M643" s="2">
        <v>45327.6</v>
      </c>
      <c r="N643" s="2" t="s">
        <v>50</v>
      </c>
      <c r="O643" s="2">
        <v>2</v>
      </c>
      <c r="P643" s="2" t="s">
        <v>24</v>
      </c>
    </row>
    <row r="644" spans="1:16" x14ac:dyDescent="0.25">
      <c r="A644" s="4">
        <v>45381</v>
      </c>
      <c r="B644" s="2" t="s">
        <v>1097</v>
      </c>
      <c r="C644" s="2" t="s">
        <v>645</v>
      </c>
      <c r="D644" t="s">
        <v>47</v>
      </c>
      <c r="E644" s="2" t="s">
        <v>48</v>
      </c>
      <c r="F644" s="2" t="s">
        <v>35</v>
      </c>
      <c r="G644" s="2" t="s">
        <v>130</v>
      </c>
      <c r="H644" s="2" t="s">
        <v>247</v>
      </c>
      <c r="I644" s="2">
        <v>3</v>
      </c>
      <c r="J644" s="2">
        <v>21833</v>
      </c>
      <c r="K644" s="2">
        <v>5</v>
      </c>
      <c r="L644" s="2">
        <v>3274.95</v>
      </c>
      <c r="M644" s="2">
        <v>62224.05</v>
      </c>
      <c r="N644" s="2" t="s">
        <v>56</v>
      </c>
      <c r="O644" s="2">
        <v>1</v>
      </c>
      <c r="P644" s="2" t="s">
        <v>24</v>
      </c>
    </row>
    <row r="645" spans="1:16" x14ac:dyDescent="0.25">
      <c r="A645" s="4">
        <v>45382</v>
      </c>
      <c r="B645" s="2" t="s">
        <v>1098</v>
      </c>
      <c r="C645" s="2" t="s">
        <v>411</v>
      </c>
      <c r="D645" t="s">
        <v>33</v>
      </c>
      <c r="E645" s="2" t="s">
        <v>34</v>
      </c>
      <c r="F645" s="2" t="s">
        <v>61</v>
      </c>
      <c r="G645" s="2" t="s">
        <v>200</v>
      </c>
      <c r="H645" s="2" t="s">
        <v>473</v>
      </c>
      <c r="I645" s="2">
        <v>1</v>
      </c>
      <c r="J645" s="2">
        <v>1321</v>
      </c>
      <c r="K645" s="2">
        <v>0</v>
      </c>
      <c r="L645" s="2">
        <v>0</v>
      </c>
      <c r="M645" s="2">
        <v>1321</v>
      </c>
      <c r="N645" s="2" t="s">
        <v>50</v>
      </c>
      <c r="O645" s="2">
        <v>1</v>
      </c>
      <c r="P645" s="2" t="s">
        <v>24</v>
      </c>
    </row>
    <row r="646" spans="1:16" x14ac:dyDescent="0.25">
      <c r="A646" s="4">
        <v>45383</v>
      </c>
      <c r="B646" s="2" t="s">
        <v>1099</v>
      </c>
      <c r="C646" s="2" t="s">
        <v>345</v>
      </c>
      <c r="D646" t="s">
        <v>66</v>
      </c>
      <c r="E646" s="2" t="s">
        <v>19</v>
      </c>
      <c r="F646" s="2" t="s">
        <v>28</v>
      </c>
      <c r="G646" s="2" t="s">
        <v>188</v>
      </c>
      <c r="H646" s="2" t="s">
        <v>206</v>
      </c>
      <c r="I646" s="2">
        <v>1</v>
      </c>
      <c r="J646" s="2">
        <v>2373</v>
      </c>
      <c r="K646" s="2">
        <v>10</v>
      </c>
      <c r="L646" s="2">
        <v>237.3</v>
      </c>
      <c r="M646" s="2">
        <v>2135.6999999999998</v>
      </c>
      <c r="N646" s="2" t="s">
        <v>56</v>
      </c>
      <c r="O646" s="2">
        <v>1</v>
      </c>
      <c r="P646" s="2" t="s">
        <v>24</v>
      </c>
    </row>
    <row r="647" spans="1:16" x14ac:dyDescent="0.25">
      <c r="A647" s="4">
        <v>45384</v>
      </c>
      <c r="B647" s="2" t="s">
        <v>1100</v>
      </c>
      <c r="C647" s="2" t="s">
        <v>169</v>
      </c>
      <c r="D647" t="s">
        <v>174</v>
      </c>
      <c r="E647" s="2" t="s">
        <v>60</v>
      </c>
      <c r="F647" s="2" t="s">
        <v>20</v>
      </c>
      <c r="G647" s="2" t="s">
        <v>170</v>
      </c>
      <c r="H647" s="2" t="s">
        <v>538</v>
      </c>
      <c r="I647" s="2">
        <v>1</v>
      </c>
      <c r="J647" s="2">
        <v>7652</v>
      </c>
      <c r="K647" s="2">
        <v>10</v>
      </c>
      <c r="L647" s="2">
        <v>765.2</v>
      </c>
      <c r="M647" s="2">
        <v>6886.8</v>
      </c>
      <c r="N647" s="2" t="s">
        <v>44</v>
      </c>
      <c r="O647" s="2">
        <v>4</v>
      </c>
      <c r="P647" s="2" t="s">
        <v>24</v>
      </c>
    </row>
    <row r="648" spans="1:16" x14ac:dyDescent="0.25">
      <c r="A648" s="4">
        <v>45385</v>
      </c>
      <c r="B648" s="2" t="s">
        <v>1101</v>
      </c>
      <c r="C648" s="2" t="s">
        <v>1102</v>
      </c>
      <c r="D648" t="s">
        <v>53</v>
      </c>
      <c r="E648" s="2" t="s">
        <v>53</v>
      </c>
      <c r="F648" s="2" t="s">
        <v>71</v>
      </c>
      <c r="G648" s="2" t="s">
        <v>86</v>
      </c>
      <c r="H648" s="2" t="s">
        <v>392</v>
      </c>
      <c r="I648" s="2">
        <v>1</v>
      </c>
      <c r="J648" s="2">
        <v>1200</v>
      </c>
      <c r="K648" s="2">
        <v>20</v>
      </c>
      <c r="L648" s="2">
        <v>240</v>
      </c>
      <c r="M648" s="2">
        <v>960</v>
      </c>
      <c r="N648" s="2" t="s">
        <v>50</v>
      </c>
      <c r="O648" s="2">
        <v>2</v>
      </c>
      <c r="P648" s="2" t="s">
        <v>24</v>
      </c>
    </row>
    <row r="649" spans="1:16" x14ac:dyDescent="0.25">
      <c r="A649" s="4">
        <v>45386</v>
      </c>
      <c r="B649" s="2" t="s">
        <v>1103</v>
      </c>
      <c r="C649" s="2" t="s">
        <v>879</v>
      </c>
      <c r="D649" t="s">
        <v>33</v>
      </c>
      <c r="E649" s="2" t="s">
        <v>34</v>
      </c>
      <c r="F649" s="2" t="s">
        <v>35</v>
      </c>
      <c r="G649" s="2" t="s">
        <v>130</v>
      </c>
      <c r="H649" s="2" t="s">
        <v>131</v>
      </c>
      <c r="I649" s="2">
        <v>3</v>
      </c>
      <c r="J649" s="2">
        <v>8109</v>
      </c>
      <c r="K649" s="2">
        <v>20</v>
      </c>
      <c r="L649" s="2">
        <v>4865.3999999999996</v>
      </c>
      <c r="M649" s="2">
        <v>19461.599999999999</v>
      </c>
      <c r="N649" s="2" t="s">
        <v>56</v>
      </c>
      <c r="O649" s="2">
        <v>1</v>
      </c>
      <c r="P649" s="2" t="s">
        <v>24</v>
      </c>
    </row>
    <row r="650" spans="1:16" x14ac:dyDescent="0.25">
      <c r="A650" s="4">
        <v>45387</v>
      </c>
      <c r="B650" s="2" t="s">
        <v>1104</v>
      </c>
      <c r="C650" s="2" t="s">
        <v>348</v>
      </c>
      <c r="D650" t="s">
        <v>53</v>
      </c>
      <c r="E650" s="2" t="s">
        <v>53</v>
      </c>
      <c r="F650" s="2" t="s">
        <v>61</v>
      </c>
      <c r="G650" s="2" t="s">
        <v>150</v>
      </c>
      <c r="H650" s="2" t="s">
        <v>359</v>
      </c>
      <c r="I650" s="2">
        <v>2</v>
      </c>
      <c r="J650" s="2">
        <v>1382</v>
      </c>
      <c r="K650" s="2">
        <v>0</v>
      </c>
      <c r="L650" s="2">
        <v>0</v>
      </c>
      <c r="M650" s="2">
        <v>2764</v>
      </c>
      <c r="N650" s="2" t="s">
        <v>50</v>
      </c>
      <c r="O650" s="2">
        <v>3</v>
      </c>
      <c r="P650" s="2" t="s">
        <v>24</v>
      </c>
    </row>
    <row r="651" spans="1:16" x14ac:dyDescent="0.25">
      <c r="A651" s="4">
        <v>45388</v>
      </c>
      <c r="B651" s="2" t="s">
        <v>1105</v>
      </c>
      <c r="C651" s="2" t="s">
        <v>1106</v>
      </c>
      <c r="D651" t="s">
        <v>174</v>
      </c>
      <c r="E651" s="2" t="s">
        <v>60</v>
      </c>
      <c r="F651" s="2" t="s">
        <v>20</v>
      </c>
      <c r="G651" s="2" t="s">
        <v>21</v>
      </c>
      <c r="H651" s="2" t="s">
        <v>121</v>
      </c>
      <c r="I651" s="2">
        <v>1</v>
      </c>
      <c r="J651" s="2">
        <v>1494</v>
      </c>
      <c r="K651" s="2">
        <v>15</v>
      </c>
      <c r="L651" s="2">
        <v>224.1</v>
      </c>
      <c r="M651" s="2">
        <v>1269.9000000000001</v>
      </c>
      <c r="N651" s="2" t="s">
        <v>44</v>
      </c>
      <c r="O651" s="2">
        <v>2</v>
      </c>
      <c r="P651" s="2" t="s">
        <v>24</v>
      </c>
    </row>
    <row r="652" spans="1:16" x14ac:dyDescent="0.25">
      <c r="A652" s="4">
        <v>45389</v>
      </c>
      <c r="B652" s="2" t="s">
        <v>1107</v>
      </c>
      <c r="C652" s="2" t="s">
        <v>339</v>
      </c>
      <c r="D652" t="s">
        <v>84</v>
      </c>
      <c r="E652" s="2" t="s">
        <v>85</v>
      </c>
      <c r="F652" s="2" t="s">
        <v>71</v>
      </c>
      <c r="G652" s="2" t="s">
        <v>106</v>
      </c>
      <c r="H652" s="2" t="s">
        <v>107</v>
      </c>
      <c r="I652" s="2">
        <v>1</v>
      </c>
      <c r="J652" s="2">
        <v>362</v>
      </c>
      <c r="K652" s="2">
        <v>15</v>
      </c>
      <c r="L652" s="2">
        <v>54.3</v>
      </c>
      <c r="M652" s="2">
        <v>307.7</v>
      </c>
      <c r="N652" s="2" t="s">
        <v>23</v>
      </c>
      <c r="O652" s="2">
        <v>3</v>
      </c>
      <c r="P652" s="2" t="s">
        <v>24</v>
      </c>
    </row>
    <row r="653" spans="1:16" x14ac:dyDescent="0.25">
      <c r="A653" s="4">
        <v>45390</v>
      </c>
      <c r="B653" s="2" t="s">
        <v>1108</v>
      </c>
      <c r="C653" s="2" t="s">
        <v>706</v>
      </c>
      <c r="D653" t="s">
        <v>174</v>
      </c>
      <c r="E653" s="2" t="s">
        <v>60</v>
      </c>
      <c r="F653" s="2" t="s">
        <v>61</v>
      </c>
      <c r="G653" s="2" t="s">
        <v>150</v>
      </c>
      <c r="H653" s="2" t="s">
        <v>359</v>
      </c>
      <c r="I653" s="2">
        <v>3</v>
      </c>
      <c r="J653" s="2">
        <v>953</v>
      </c>
      <c r="K653" s="2">
        <v>5</v>
      </c>
      <c r="L653" s="2">
        <v>142.94999999999999</v>
      </c>
      <c r="M653" s="2">
        <v>2716.05</v>
      </c>
      <c r="N653" s="2" t="s">
        <v>50</v>
      </c>
      <c r="O653" s="2">
        <v>2</v>
      </c>
      <c r="P653" s="2" t="s">
        <v>24</v>
      </c>
    </row>
    <row r="654" spans="1:16" x14ac:dyDescent="0.25">
      <c r="A654" s="4">
        <v>45391</v>
      </c>
      <c r="B654" s="2" t="s">
        <v>1109</v>
      </c>
      <c r="C654" s="2" t="s">
        <v>1110</v>
      </c>
      <c r="D654" t="s">
        <v>33</v>
      </c>
      <c r="E654" s="2" t="s">
        <v>34</v>
      </c>
      <c r="F654" s="2" t="s">
        <v>71</v>
      </c>
      <c r="G654" s="2" t="s">
        <v>72</v>
      </c>
      <c r="H654" s="2" t="s">
        <v>73</v>
      </c>
      <c r="I654" s="2">
        <v>1</v>
      </c>
      <c r="J654" s="2">
        <v>318</v>
      </c>
      <c r="K654" s="2">
        <v>5</v>
      </c>
      <c r="L654" s="2">
        <v>15.9</v>
      </c>
      <c r="M654" s="2">
        <v>302.10000000000002</v>
      </c>
      <c r="N654" s="2" t="s">
        <v>44</v>
      </c>
      <c r="O654" s="2">
        <v>5</v>
      </c>
      <c r="P654" s="2" t="s">
        <v>92</v>
      </c>
    </row>
    <row r="655" spans="1:16" x14ac:dyDescent="0.25">
      <c r="A655" s="4">
        <v>45392</v>
      </c>
      <c r="B655" s="2" t="s">
        <v>1111</v>
      </c>
      <c r="C655" s="2" t="s">
        <v>220</v>
      </c>
      <c r="D655" t="s">
        <v>66</v>
      </c>
      <c r="E655" s="2" t="s">
        <v>19</v>
      </c>
      <c r="F655" s="2" t="s">
        <v>28</v>
      </c>
      <c r="G655" s="2" t="s">
        <v>29</v>
      </c>
      <c r="H655" s="2" t="s">
        <v>488</v>
      </c>
      <c r="I655" s="2">
        <v>1</v>
      </c>
      <c r="J655" s="2">
        <v>2784</v>
      </c>
      <c r="K655" s="2">
        <v>0</v>
      </c>
      <c r="L655" s="2">
        <v>0</v>
      </c>
      <c r="M655" s="2">
        <v>2784</v>
      </c>
      <c r="N655" s="2" t="s">
        <v>44</v>
      </c>
      <c r="O655" s="2">
        <v>7</v>
      </c>
      <c r="P655" s="2" t="s">
        <v>92</v>
      </c>
    </row>
    <row r="656" spans="1:16" x14ac:dyDescent="0.25">
      <c r="A656" s="4">
        <v>45393</v>
      </c>
      <c r="B656" s="2" t="s">
        <v>1112</v>
      </c>
      <c r="C656" s="2" t="s">
        <v>824</v>
      </c>
      <c r="D656" t="s">
        <v>174</v>
      </c>
      <c r="E656" s="2" t="s">
        <v>60</v>
      </c>
      <c r="F656" s="2" t="s">
        <v>61</v>
      </c>
      <c r="G656" s="2" t="s">
        <v>150</v>
      </c>
      <c r="H656" s="2" t="s">
        <v>151</v>
      </c>
      <c r="I656" s="2">
        <v>3</v>
      </c>
      <c r="J656" s="2">
        <v>517</v>
      </c>
      <c r="K656" s="2">
        <v>0</v>
      </c>
      <c r="L656" s="2">
        <v>0</v>
      </c>
      <c r="M656" s="2">
        <v>1551</v>
      </c>
      <c r="N656" s="2" t="s">
        <v>50</v>
      </c>
      <c r="O656" s="2">
        <v>2</v>
      </c>
      <c r="P656" s="2" t="s">
        <v>24</v>
      </c>
    </row>
    <row r="657" spans="1:16" x14ac:dyDescent="0.25">
      <c r="A657" s="4">
        <v>45394</v>
      </c>
      <c r="B657" s="2" t="s">
        <v>1113</v>
      </c>
      <c r="C657" s="2" t="s">
        <v>129</v>
      </c>
      <c r="D657" t="s">
        <v>59</v>
      </c>
      <c r="E657" s="2" t="s">
        <v>60</v>
      </c>
      <c r="F657" s="2" t="s">
        <v>28</v>
      </c>
      <c r="G657" s="2" t="s">
        <v>110</v>
      </c>
      <c r="H657" s="2" t="s">
        <v>409</v>
      </c>
      <c r="I657" s="2">
        <v>1</v>
      </c>
      <c r="J657" s="2">
        <v>2879</v>
      </c>
      <c r="K657" s="2">
        <v>10</v>
      </c>
      <c r="L657" s="2">
        <v>287.89999999999998</v>
      </c>
      <c r="M657" s="2">
        <v>2591.1</v>
      </c>
      <c r="N657" s="2" t="s">
        <v>50</v>
      </c>
      <c r="O657" s="2">
        <v>3</v>
      </c>
      <c r="P657" s="2" t="s">
        <v>24</v>
      </c>
    </row>
    <row r="658" spans="1:16" x14ac:dyDescent="0.25">
      <c r="A658" s="4">
        <v>45395</v>
      </c>
      <c r="B658" s="2" t="s">
        <v>1114</v>
      </c>
      <c r="C658" s="2" t="s">
        <v>1115</v>
      </c>
      <c r="D658" t="s">
        <v>66</v>
      </c>
      <c r="E658" s="2" t="s">
        <v>19</v>
      </c>
      <c r="F658" s="2" t="s">
        <v>61</v>
      </c>
      <c r="G658" s="2" t="s">
        <v>200</v>
      </c>
      <c r="H658" s="2" t="s">
        <v>226</v>
      </c>
      <c r="I658" s="2">
        <v>1</v>
      </c>
      <c r="J658" s="2">
        <v>399</v>
      </c>
      <c r="K658" s="2">
        <v>10</v>
      </c>
      <c r="L658" s="2">
        <v>39.9</v>
      </c>
      <c r="M658" s="2">
        <v>359.1</v>
      </c>
      <c r="N658" s="2" t="s">
        <v>44</v>
      </c>
      <c r="O658" s="2">
        <v>5</v>
      </c>
      <c r="P658" s="2" t="s">
        <v>24</v>
      </c>
    </row>
    <row r="659" spans="1:16" x14ac:dyDescent="0.25">
      <c r="A659" s="4">
        <v>45396</v>
      </c>
      <c r="B659" s="2" t="s">
        <v>1116</v>
      </c>
      <c r="C659" s="2" t="s">
        <v>582</v>
      </c>
      <c r="D659" t="s">
        <v>84</v>
      </c>
      <c r="E659" s="2" t="s">
        <v>85</v>
      </c>
      <c r="F659" s="2" t="s">
        <v>35</v>
      </c>
      <c r="G659" s="2" t="s">
        <v>124</v>
      </c>
      <c r="H659" s="2" t="s">
        <v>125</v>
      </c>
      <c r="I659" s="2">
        <v>1</v>
      </c>
      <c r="J659" s="2">
        <v>28920</v>
      </c>
      <c r="K659" s="2">
        <v>5</v>
      </c>
      <c r="L659" s="2">
        <v>1446</v>
      </c>
      <c r="M659" s="2">
        <v>27474</v>
      </c>
      <c r="N659" s="2" t="s">
        <v>44</v>
      </c>
      <c r="O659" s="2">
        <v>5</v>
      </c>
      <c r="P659" s="2" t="s">
        <v>24</v>
      </c>
    </row>
    <row r="660" spans="1:16" x14ac:dyDescent="0.25">
      <c r="A660" s="4">
        <v>45397</v>
      </c>
      <c r="B660" s="2" t="s">
        <v>1117</v>
      </c>
      <c r="C660" s="2" t="s">
        <v>749</v>
      </c>
      <c r="D660" t="s">
        <v>59</v>
      </c>
      <c r="E660" s="2" t="s">
        <v>60</v>
      </c>
      <c r="F660" s="2" t="s">
        <v>71</v>
      </c>
      <c r="G660" s="2" t="s">
        <v>86</v>
      </c>
      <c r="H660" s="2" t="s">
        <v>616</v>
      </c>
      <c r="I660" s="2">
        <v>1</v>
      </c>
      <c r="J660" s="2">
        <v>1384</v>
      </c>
      <c r="K660" s="2">
        <v>0</v>
      </c>
      <c r="L660" s="2">
        <v>0</v>
      </c>
      <c r="M660" s="2">
        <v>1384</v>
      </c>
      <c r="N660" s="2" t="s">
        <v>44</v>
      </c>
      <c r="O660" s="2">
        <v>6</v>
      </c>
      <c r="P660" s="2" t="s">
        <v>24</v>
      </c>
    </row>
    <row r="661" spans="1:16" x14ac:dyDescent="0.25">
      <c r="A661" s="4">
        <v>45398</v>
      </c>
      <c r="B661" s="2" t="s">
        <v>1118</v>
      </c>
      <c r="C661" s="2" t="s">
        <v>1119</v>
      </c>
      <c r="D661" t="s">
        <v>18</v>
      </c>
      <c r="E661" s="2" t="s">
        <v>19</v>
      </c>
      <c r="F661" s="2" t="s">
        <v>71</v>
      </c>
      <c r="G661" s="2" t="s">
        <v>106</v>
      </c>
      <c r="H661" s="2" t="s">
        <v>1120</v>
      </c>
      <c r="I661" s="2">
        <v>1</v>
      </c>
      <c r="J661" s="2">
        <v>229</v>
      </c>
      <c r="K661" s="2">
        <v>5</v>
      </c>
      <c r="L661" s="2">
        <v>11.45</v>
      </c>
      <c r="M661" s="2">
        <v>217.55</v>
      </c>
      <c r="N661" s="2" t="s">
        <v>44</v>
      </c>
      <c r="O661" s="2">
        <v>2</v>
      </c>
      <c r="P661" s="2" t="s">
        <v>24</v>
      </c>
    </row>
    <row r="662" spans="1:16" x14ac:dyDescent="0.25">
      <c r="A662" s="4">
        <v>45399</v>
      </c>
      <c r="B662" s="2" t="s">
        <v>1121</v>
      </c>
      <c r="C662" s="2" t="s">
        <v>75</v>
      </c>
      <c r="D662" t="s">
        <v>47</v>
      </c>
      <c r="E662" s="2" t="s">
        <v>48</v>
      </c>
      <c r="F662" s="2" t="s">
        <v>71</v>
      </c>
      <c r="G662" s="2" t="s">
        <v>76</v>
      </c>
      <c r="H662" s="2" t="s">
        <v>181</v>
      </c>
      <c r="I662" s="2">
        <v>3</v>
      </c>
      <c r="J662" s="2">
        <v>1113</v>
      </c>
      <c r="K662" s="2">
        <v>15</v>
      </c>
      <c r="L662" s="2">
        <v>500.85</v>
      </c>
      <c r="M662" s="2">
        <v>2838.15</v>
      </c>
      <c r="N662" s="2" t="s">
        <v>23</v>
      </c>
      <c r="O662" s="2">
        <v>3</v>
      </c>
      <c r="P662" s="2" t="s">
        <v>24</v>
      </c>
    </row>
    <row r="663" spans="1:16" x14ac:dyDescent="0.25">
      <c r="A663" s="4">
        <v>45400</v>
      </c>
      <c r="B663" s="2" t="s">
        <v>1122</v>
      </c>
      <c r="C663" s="2" t="s">
        <v>701</v>
      </c>
      <c r="D663" t="s">
        <v>66</v>
      </c>
      <c r="E663" s="2" t="s">
        <v>19</v>
      </c>
      <c r="F663" s="2" t="s">
        <v>20</v>
      </c>
      <c r="G663" s="2" t="s">
        <v>42</v>
      </c>
      <c r="H663" s="2" t="s">
        <v>278</v>
      </c>
      <c r="I663" s="2">
        <v>1</v>
      </c>
      <c r="J663" s="2">
        <v>5935</v>
      </c>
      <c r="K663" s="2">
        <v>15</v>
      </c>
      <c r="L663" s="2">
        <v>890.25</v>
      </c>
      <c r="M663" s="2">
        <v>5044.75</v>
      </c>
      <c r="N663" s="2" t="s">
        <v>23</v>
      </c>
      <c r="O663" s="2">
        <v>2</v>
      </c>
      <c r="P663" s="2" t="s">
        <v>24</v>
      </c>
    </row>
    <row r="664" spans="1:16" x14ac:dyDescent="0.25">
      <c r="A664" s="4">
        <v>45401</v>
      </c>
      <c r="B664" s="2" t="s">
        <v>1123</v>
      </c>
      <c r="C664" s="2" t="s">
        <v>1124</v>
      </c>
      <c r="D664" t="s">
        <v>174</v>
      </c>
      <c r="E664" s="2" t="s">
        <v>60</v>
      </c>
      <c r="F664" s="2" t="s">
        <v>71</v>
      </c>
      <c r="G664" s="2" t="s">
        <v>86</v>
      </c>
      <c r="H664" s="2" t="s">
        <v>145</v>
      </c>
      <c r="I664" s="2">
        <v>1</v>
      </c>
      <c r="J664" s="2">
        <v>914</v>
      </c>
      <c r="K664" s="2">
        <v>0</v>
      </c>
      <c r="L664" s="2">
        <v>0</v>
      </c>
      <c r="M664" s="2">
        <v>914</v>
      </c>
      <c r="N664" s="2" t="s">
        <v>23</v>
      </c>
      <c r="O664" s="2">
        <v>2</v>
      </c>
      <c r="P664" s="2" t="s">
        <v>24</v>
      </c>
    </row>
    <row r="665" spans="1:16" x14ac:dyDescent="0.25">
      <c r="A665" s="4">
        <v>45402</v>
      </c>
      <c r="B665" s="2" t="s">
        <v>1125</v>
      </c>
      <c r="C665" s="2" t="s">
        <v>481</v>
      </c>
      <c r="D665" t="s">
        <v>66</v>
      </c>
      <c r="E665" s="2" t="s">
        <v>19</v>
      </c>
      <c r="F665" s="2" t="s">
        <v>35</v>
      </c>
      <c r="G665" s="2" t="s">
        <v>130</v>
      </c>
      <c r="H665" s="2" t="s">
        <v>175</v>
      </c>
      <c r="I665" s="2">
        <v>3</v>
      </c>
      <c r="J665" s="2">
        <v>9887</v>
      </c>
      <c r="K665" s="2">
        <v>10</v>
      </c>
      <c r="L665" s="2">
        <v>2966.1</v>
      </c>
      <c r="M665" s="2">
        <v>26694.9</v>
      </c>
      <c r="N665" s="2" t="s">
        <v>38</v>
      </c>
      <c r="O665" s="2">
        <v>3</v>
      </c>
      <c r="P665" s="2" t="s">
        <v>24</v>
      </c>
    </row>
    <row r="666" spans="1:16" x14ac:dyDescent="0.25">
      <c r="A666" s="4">
        <v>45403</v>
      </c>
      <c r="B666" s="2" t="s">
        <v>1126</v>
      </c>
      <c r="C666" s="2" t="s">
        <v>271</v>
      </c>
      <c r="D666" t="s">
        <v>41</v>
      </c>
      <c r="E666" s="2" t="s">
        <v>19</v>
      </c>
      <c r="F666" s="2" t="s">
        <v>71</v>
      </c>
      <c r="G666" s="2" t="s">
        <v>86</v>
      </c>
      <c r="H666" s="2" t="s">
        <v>145</v>
      </c>
      <c r="I666" s="2">
        <v>1</v>
      </c>
      <c r="J666" s="2">
        <v>826</v>
      </c>
      <c r="K666" s="2">
        <v>0</v>
      </c>
      <c r="L666" s="2">
        <v>0</v>
      </c>
      <c r="M666" s="2">
        <v>826</v>
      </c>
      <c r="N666" s="2" t="s">
        <v>56</v>
      </c>
      <c r="O666" s="2">
        <v>1</v>
      </c>
      <c r="P666" s="2" t="s">
        <v>24</v>
      </c>
    </row>
    <row r="667" spans="1:16" x14ac:dyDescent="0.25">
      <c r="A667" s="4">
        <v>45404</v>
      </c>
      <c r="B667" s="2" t="s">
        <v>1127</v>
      </c>
      <c r="C667" s="2" t="s">
        <v>843</v>
      </c>
      <c r="D667" t="s">
        <v>33</v>
      </c>
      <c r="E667" s="2" t="s">
        <v>34</v>
      </c>
      <c r="F667" s="2" t="s">
        <v>71</v>
      </c>
      <c r="G667" s="2" t="s">
        <v>106</v>
      </c>
      <c r="H667" s="2" t="s">
        <v>346</v>
      </c>
      <c r="I667" s="2">
        <v>1</v>
      </c>
      <c r="J667" s="2">
        <v>609</v>
      </c>
      <c r="K667" s="2">
        <v>0</v>
      </c>
      <c r="L667" s="2">
        <v>0</v>
      </c>
      <c r="M667" s="2">
        <v>609</v>
      </c>
      <c r="N667" s="2" t="s">
        <v>44</v>
      </c>
      <c r="O667" s="2">
        <v>3</v>
      </c>
      <c r="P667" s="2" t="s">
        <v>24</v>
      </c>
    </row>
    <row r="668" spans="1:16" x14ac:dyDescent="0.25">
      <c r="A668" s="4">
        <v>45405</v>
      </c>
      <c r="B668" s="2" t="s">
        <v>1128</v>
      </c>
      <c r="C668" s="2" t="s">
        <v>238</v>
      </c>
      <c r="D668" t="s">
        <v>33</v>
      </c>
      <c r="E668" s="2" t="s">
        <v>34</v>
      </c>
      <c r="F668" s="2" t="s">
        <v>35</v>
      </c>
      <c r="G668" s="2" t="s">
        <v>80</v>
      </c>
      <c r="H668" s="2" t="s">
        <v>81</v>
      </c>
      <c r="I668" s="2">
        <v>2</v>
      </c>
      <c r="J668" s="2">
        <v>20590</v>
      </c>
      <c r="K668" s="2">
        <v>10</v>
      </c>
      <c r="L668" s="2">
        <v>4118</v>
      </c>
      <c r="M668" s="2">
        <v>37062</v>
      </c>
      <c r="N668" s="2" t="s">
        <v>44</v>
      </c>
      <c r="O668" s="2">
        <v>4</v>
      </c>
      <c r="P668" s="2" t="s">
        <v>24</v>
      </c>
    </row>
    <row r="669" spans="1:16" x14ac:dyDescent="0.25">
      <c r="A669" s="4">
        <v>45406</v>
      </c>
      <c r="B669" s="2" t="s">
        <v>1129</v>
      </c>
      <c r="C669" s="2" t="s">
        <v>458</v>
      </c>
      <c r="D669" t="s">
        <v>47</v>
      </c>
      <c r="E669" s="2" t="s">
        <v>48</v>
      </c>
      <c r="F669" s="2" t="s">
        <v>61</v>
      </c>
      <c r="G669" s="2" t="s">
        <v>62</v>
      </c>
      <c r="H669" s="2" t="s">
        <v>63</v>
      </c>
      <c r="I669" s="2">
        <v>2</v>
      </c>
      <c r="J669" s="2">
        <v>1956</v>
      </c>
      <c r="K669" s="2">
        <v>5</v>
      </c>
      <c r="L669" s="2">
        <v>195.6</v>
      </c>
      <c r="M669" s="2">
        <v>3716.4</v>
      </c>
      <c r="N669" s="2" t="s">
        <v>23</v>
      </c>
      <c r="O669" s="2">
        <v>1</v>
      </c>
      <c r="P669" s="2" t="s">
        <v>24</v>
      </c>
    </row>
    <row r="670" spans="1:16" x14ac:dyDescent="0.25">
      <c r="A670" s="4">
        <v>45407</v>
      </c>
      <c r="B670" s="2" t="s">
        <v>1130</v>
      </c>
      <c r="C670" s="2" t="s">
        <v>242</v>
      </c>
      <c r="D670" t="s">
        <v>174</v>
      </c>
      <c r="E670" s="2" t="s">
        <v>60</v>
      </c>
      <c r="F670" s="2" t="s">
        <v>28</v>
      </c>
      <c r="G670" s="2" t="s">
        <v>188</v>
      </c>
      <c r="H670" s="2" t="s">
        <v>192</v>
      </c>
      <c r="I670" s="2">
        <v>2</v>
      </c>
      <c r="J670" s="2">
        <v>3432</v>
      </c>
      <c r="K670" s="2">
        <v>10</v>
      </c>
      <c r="L670" s="2">
        <v>686.4</v>
      </c>
      <c r="M670" s="2">
        <v>6177.6</v>
      </c>
      <c r="N670" s="2" t="s">
        <v>50</v>
      </c>
      <c r="O670" s="2">
        <v>2</v>
      </c>
      <c r="P670" s="2" t="s">
        <v>24</v>
      </c>
    </row>
    <row r="671" spans="1:16" x14ac:dyDescent="0.25">
      <c r="A671" s="4">
        <v>45408</v>
      </c>
      <c r="B671" s="2" t="s">
        <v>1131</v>
      </c>
      <c r="C671" s="2" t="s">
        <v>1132</v>
      </c>
      <c r="D671" t="s">
        <v>66</v>
      </c>
      <c r="E671" s="2" t="s">
        <v>19</v>
      </c>
      <c r="F671" s="2" t="s">
        <v>71</v>
      </c>
      <c r="G671" s="2" t="s">
        <v>72</v>
      </c>
      <c r="H671" s="2" t="s">
        <v>73</v>
      </c>
      <c r="I671" s="2">
        <v>3</v>
      </c>
      <c r="J671" s="2">
        <v>228</v>
      </c>
      <c r="K671" s="2">
        <v>15</v>
      </c>
      <c r="L671" s="2">
        <v>102.6</v>
      </c>
      <c r="M671" s="2">
        <v>581.4</v>
      </c>
      <c r="N671" s="2" t="s">
        <v>50</v>
      </c>
      <c r="O671" s="2">
        <v>2</v>
      </c>
      <c r="P671" s="2" t="s">
        <v>24</v>
      </c>
    </row>
    <row r="672" spans="1:16" x14ac:dyDescent="0.25">
      <c r="A672" s="4">
        <v>45409</v>
      </c>
      <c r="B672" s="2" t="s">
        <v>1133</v>
      </c>
      <c r="C672" s="2" t="s">
        <v>249</v>
      </c>
      <c r="D672" t="s">
        <v>33</v>
      </c>
      <c r="E672" s="2" t="s">
        <v>34</v>
      </c>
      <c r="F672" s="2" t="s">
        <v>28</v>
      </c>
      <c r="G672" s="2" t="s">
        <v>110</v>
      </c>
      <c r="H672" s="2" t="s">
        <v>317</v>
      </c>
      <c r="I672" s="2">
        <v>1</v>
      </c>
      <c r="J672" s="2">
        <v>2741</v>
      </c>
      <c r="K672" s="2">
        <v>20</v>
      </c>
      <c r="L672" s="2">
        <v>548.20000000000005</v>
      </c>
      <c r="M672" s="2">
        <v>2192.8000000000002</v>
      </c>
      <c r="N672" s="2" t="s">
        <v>50</v>
      </c>
      <c r="O672" s="2">
        <v>3</v>
      </c>
      <c r="P672" s="2" t="s">
        <v>24</v>
      </c>
    </row>
    <row r="673" spans="1:16" x14ac:dyDescent="0.25">
      <c r="A673" s="4">
        <v>45410</v>
      </c>
      <c r="B673" s="2" t="s">
        <v>1134</v>
      </c>
      <c r="C673" s="2" t="s">
        <v>582</v>
      </c>
      <c r="D673" t="s">
        <v>66</v>
      </c>
      <c r="E673" s="2" t="s">
        <v>19</v>
      </c>
      <c r="F673" s="2" t="s">
        <v>71</v>
      </c>
      <c r="G673" s="2" t="s">
        <v>86</v>
      </c>
      <c r="H673" s="2" t="s">
        <v>392</v>
      </c>
      <c r="I673" s="2">
        <v>1</v>
      </c>
      <c r="J673" s="2">
        <v>1488</v>
      </c>
      <c r="K673" s="2">
        <v>5</v>
      </c>
      <c r="L673" s="2">
        <v>74.400000000000006</v>
      </c>
      <c r="M673" s="2">
        <v>1413.6</v>
      </c>
      <c r="N673" s="2" t="s">
        <v>23</v>
      </c>
      <c r="O673" s="2">
        <v>5</v>
      </c>
      <c r="P673" s="2" t="s">
        <v>24</v>
      </c>
    </row>
    <row r="674" spans="1:16" x14ac:dyDescent="0.25">
      <c r="A674" s="4">
        <v>45411</v>
      </c>
      <c r="B674" s="2" t="s">
        <v>1135</v>
      </c>
      <c r="C674" s="2" t="s">
        <v>801</v>
      </c>
      <c r="D674" t="s">
        <v>41</v>
      </c>
      <c r="E674" s="2" t="s">
        <v>19</v>
      </c>
      <c r="F674" s="2" t="s">
        <v>35</v>
      </c>
      <c r="G674" s="2" t="s">
        <v>124</v>
      </c>
      <c r="H674" s="2" t="s">
        <v>142</v>
      </c>
      <c r="I674" s="2">
        <v>3</v>
      </c>
      <c r="J674" s="2">
        <v>34809</v>
      </c>
      <c r="K674" s="2">
        <v>15</v>
      </c>
      <c r="L674" s="2">
        <v>15664.05</v>
      </c>
      <c r="M674" s="2">
        <v>88762.95</v>
      </c>
      <c r="N674" s="2" t="s">
        <v>50</v>
      </c>
      <c r="O674" s="2">
        <v>5</v>
      </c>
      <c r="P674" s="2" t="s">
        <v>24</v>
      </c>
    </row>
    <row r="675" spans="1:16" x14ac:dyDescent="0.25">
      <c r="A675" s="4">
        <v>45412</v>
      </c>
      <c r="B675" s="2" t="s">
        <v>1136</v>
      </c>
      <c r="C675" s="2" t="s">
        <v>500</v>
      </c>
      <c r="D675" t="s">
        <v>59</v>
      </c>
      <c r="E675" s="2" t="s">
        <v>60</v>
      </c>
      <c r="F675" s="2" t="s">
        <v>28</v>
      </c>
      <c r="G675" s="2" t="s">
        <v>289</v>
      </c>
      <c r="H675" s="2" t="s">
        <v>506</v>
      </c>
      <c r="I675" s="2">
        <v>1</v>
      </c>
      <c r="J675" s="2">
        <v>4816</v>
      </c>
      <c r="K675" s="2">
        <v>0</v>
      </c>
      <c r="L675" s="2">
        <v>0</v>
      </c>
      <c r="M675" s="2">
        <v>4816</v>
      </c>
      <c r="N675" s="2" t="s">
        <v>50</v>
      </c>
      <c r="O675" s="2">
        <v>2</v>
      </c>
      <c r="P675" s="2" t="s">
        <v>24</v>
      </c>
    </row>
    <row r="676" spans="1:16" x14ac:dyDescent="0.25">
      <c r="A676" s="4">
        <v>45413</v>
      </c>
      <c r="B676" s="2" t="s">
        <v>1137</v>
      </c>
      <c r="C676" s="2" t="s">
        <v>1064</v>
      </c>
      <c r="D676" t="s">
        <v>59</v>
      </c>
      <c r="E676" s="2" t="s">
        <v>60</v>
      </c>
      <c r="F676" s="2" t="s">
        <v>28</v>
      </c>
      <c r="G676" s="2" t="s">
        <v>289</v>
      </c>
      <c r="H676" s="2" t="s">
        <v>290</v>
      </c>
      <c r="I676" s="2">
        <v>2</v>
      </c>
      <c r="J676" s="2">
        <v>4193</v>
      </c>
      <c r="K676" s="2">
        <v>0</v>
      </c>
      <c r="L676" s="2">
        <v>0</v>
      </c>
      <c r="M676" s="2">
        <v>8386</v>
      </c>
      <c r="N676" s="2" t="s">
        <v>23</v>
      </c>
      <c r="O676" s="2">
        <v>2</v>
      </c>
      <c r="P676" s="2" t="s">
        <v>24</v>
      </c>
    </row>
    <row r="677" spans="1:16" x14ac:dyDescent="0.25">
      <c r="A677" s="4">
        <v>45414</v>
      </c>
      <c r="B677" s="2" t="s">
        <v>1138</v>
      </c>
      <c r="C677" s="2" t="s">
        <v>155</v>
      </c>
      <c r="D677" t="s">
        <v>47</v>
      </c>
      <c r="E677" s="2" t="s">
        <v>48</v>
      </c>
      <c r="F677" s="2" t="s">
        <v>28</v>
      </c>
      <c r="G677" s="2" t="s">
        <v>188</v>
      </c>
      <c r="H677" s="2" t="s">
        <v>418</v>
      </c>
      <c r="I677" s="2">
        <v>1</v>
      </c>
      <c r="J677" s="2">
        <v>4430</v>
      </c>
      <c r="K677" s="2">
        <v>5</v>
      </c>
      <c r="L677" s="2">
        <v>221.5</v>
      </c>
      <c r="M677" s="2">
        <v>4208.5</v>
      </c>
      <c r="N677" s="2" t="s">
        <v>23</v>
      </c>
      <c r="O677" s="2">
        <v>1</v>
      </c>
      <c r="P677" s="2" t="s">
        <v>24</v>
      </c>
    </row>
    <row r="678" spans="1:16" x14ac:dyDescent="0.25">
      <c r="A678" s="4">
        <v>45415</v>
      </c>
      <c r="B678" s="2" t="s">
        <v>1139</v>
      </c>
      <c r="C678" s="2" t="s">
        <v>308</v>
      </c>
      <c r="D678" t="s">
        <v>174</v>
      </c>
      <c r="E678" s="2" t="s">
        <v>60</v>
      </c>
      <c r="F678" s="2" t="s">
        <v>20</v>
      </c>
      <c r="G678" s="2" t="s">
        <v>21</v>
      </c>
      <c r="H678" s="2" t="s">
        <v>121</v>
      </c>
      <c r="I678" s="2">
        <v>1</v>
      </c>
      <c r="J678" s="2">
        <v>3808</v>
      </c>
      <c r="K678" s="2">
        <v>5</v>
      </c>
      <c r="L678" s="2">
        <v>190.4</v>
      </c>
      <c r="M678" s="2">
        <v>3617.6</v>
      </c>
      <c r="N678" s="2" t="s">
        <v>23</v>
      </c>
      <c r="O678" s="2">
        <v>5</v>
      </c>
      <c r="P678" s="2" t="s">
        <v>24</v>
      </c>
    </row>
    <row r="679" spans="1:16" x14ac:dyDescent="0.25">
      <c r="A679" s="4">
        <v>45416</v>
      </c>
      <c r="B679" s="2" t="s">
        <v>1140</v>
      </c>
      <c r="C679" s="2" t="s">
        <v>865</v>
      </c>
      <c r="D679" t="s">
        <v>174</v>
      </c>
      <c r="E679" s="2" t="s">
        <v>60</v>
      </c>
      <c r="F679" s="2" t="s">
        <v>28</v>
      </c>
      <c r="G679" s="2" t="s">
        <v>289</v>
      </c>
      <c r="H679" s="2" t="s">
        <v>554</v>
      </c>
      <c r="I679" s="2">
        <v>1</v>
      </c>
      <c r="J679" s="2">
        <v>1306</v>
      </c>
      <c r="K679" s="2">
        <v>0</v>
      </c>
      <c r="L679" s="2">
        <v>0</v>
      </c>
      <c r="M679" s="2">
        <v>1306</v>
      </c>
      <c r="N679" s="2" t="s">
        <v>50</v>
      </c>
      <c r="O679" s="2">
        <v>2</v>
      </c>
      <c r="P679" s="2" t="s">
        <v>24</v>
      </c>
    </row>
    <row r="680" spans="1:16" x14ac:dyDescent="0.25">
      <c r="A680" s="4">
        <v>45417</v>
      </c>
      <c r="B680" s="2" t="s">
        <v>1141</v>
      </c>
      <c r="C680" s="2" t="s">
        <v>658</v>
      </c>
      <c r="D680" t="s">
        <v>53</v>
      </c>
      <c r="E680" s="2" t="s">
        <v>53</v>
      </c>
      <c r="F680" s="2" t="s">
        <v>61</v>
      </c>
      <c r="G680" s="2" t="s">
        <v>200</v>
      </c>
      <c r="H680" s="2" t="s">
        <v>587</v>
      </c>
      <c r="I680" s="2">
        <v>1</v>
      </c>
      <c r="J680" s="2">
        <v>1546</v>
      </c>
      <c r="K680" s="2">
        <v>5</v>
      </c>
      <c r="L680" s="2">
        <v>77.3</v>
      </c>
      <c r="M680" s="2">
        <v>1468.7</v>
      </c>
      <c r="N680" s="2" t="s">
        <v>44</v>
      </c>
      <c r="O680" s="2">
        <v>5</v>
      </c>
      <c r="P680" s="2" t="s">
        <v>24</v>
      </c>
    </row>
    <row r="681" spans="1:16" x14ac:dyDescent="0.25">
      <c r="A681" s="4">
        <v>45418</v>
      </c>
      <c r="B681" s="2" t="s">
        <v>1142</v>
      </c>
      <c r="C681" s="2" t="s">
        <v>335</v>
      </c>
      <c r="D681" t="s">
        <v>33</v>
      </c>
      <c r="E681" s="2" t="s">
        <v>34</v>
      </c>
      <c r="F681" s="2" t="s">
        <v>35</v>
      </c>
      <c r="G681" s="2" t="s">
        <v>67</v>
      </c>
      <c r="H681" s="2" t="s">
        <v>368</v>
      </c>
      <c r="I681" s="2">
        <v>1</v>
      </c>
      <c r="J681" s="2">
        <v>33268</v>
      </c>
      <c r="K681" s="2">
        <v>0</v>
      </c>
      <c r="L681" s="2">
        <v>0</v>
      </c>
      <c r="M681" s="2">
        <v>33268</v>
      </c>
      <c r="N681" s="2" t="s">
        <v>44</v>
      </c>
      <c r="O681" s="2">
        <v>3</v>
      </c>
      <c r="P681" s="2" t="s">
        <v>24</v>
      </c>
    </row>
    <row r="682" spans="1:16" x14ac:dyDescent="0.25">
      <c r="A682" s="4">
        <v>45419</v>
      </c>
      <c r="B682" s="2" t="s">
        <v>1143</v>
      </c>
      <c r="C682" s="2" t="s">
        <v>363</v>
      </c>
      <c r="D682" t="s">
        <v>66</v>
      </c>
      <c r="E682" s="2" t="s">
        <v>19</v>
      </c>
      <c r="F682" s="2" t="s">
        <v>20</v>
      </c>
      <c r="G682" s="2" t="s">
        <v>139</v>
      </c>
      <c r="H682" s="2" t="s">
        <v>327</v>
      </c>
      <c r="I682" s="2">
        <v>1</v>
      </c>
      <c r="J682" s="2">
        <v>5359</v>
      </c>
      <c r="K682" s="2">
        <v>0</v>
      </c>
      <c r="L682" s="2">
        <v>0</v>
      </c>
      <c r="M682" s="2">
        <v>5359</v>
      </c>
      <c r="N682" s="2" t="s">
        <v>23</v>
      </c>
      <c r="O682" s="2">
        <v>1</v>
      </c>
      <c r="P682" s="2" t="s">
        <v>24</v>
      </c>
    </row>
    <row r="683" spans="1:16" x14ac:dyDescent="0.25">
      <c r="A683" s="4">
        <v>45420</v>
      </c>
      <c r="B683" s="2" t="s">
        <v>1144</v>
      </c>
      <c r="C683" s="2" t="s">
        <v>113</v>
      </c>
      <c r="D683" t="s">
        <v>59</v>
      </c>
      <c r="E683" s="2" t="s">
        <v>60</v>
      </c>
      <c r="F683" s="2" t="s">
        <v>28</v>
      </c>
      <c r="G683" s="2" t="s">
        <v>188</v>
      </c>
      <c r="H683" s="2" t="s">
        <v>206</v>
      </c>
      <c r="I683" s="2">
        <v>2</v>
      </c>
      <c r="J683" s="2">
        <v>1884</v>
      </c>
      <c r="K683" s="2">
        <v>10</v>
      </c>
      <c r="L683" s="2">
        <v>376.8</v>
      </c>
      <c r="M683" s="2">
        <v>3391.2</v>
      </c>
      <c r="N683" s="2" t="s">
        <v>23</v>
      </c>
      <c r="O683" s="2">
        <v>1</v>
      </c>
      <c r="P683" s="2" t="s">
        <v>24</v>
      </c>
    </row>
    <row r="684" spans="1:16" x14ac:dyDescent="0.25">
      <c r="A684" s="4">
        <v>45421</v>
      </c>
      <c r="B684" s="2" t="s">
        <v>1145</v>
      </c>
      <c r="C684" s="2" t="s">
        <v>1146</v>
      </c>
      <c r="D684" t="s">
        <v>84</v>
      </c>
      <c r="E684" s="2" t="s">
        <v>85</v>
      </c>
      <c r="F684" s="2" t="s">
        <v>28</v>
      </c>
      <c r="G684" s="2" t="s">
        <v>90</v>
      </c>
      <c r="H684" s="2" t="s">
        <v>103</v>
      </c>
      <c r="I684" s="2">
        <v>1</v>
      </c>
      <c r="J684" s="2">
        <v>1144</v>
      </c>
      <c r="K684" s="2">
        <v>5</v>
      </c>
      <c r="L684" s="2">
        <v>57.2</v>
      </c>
      <c r="M684" s="2">
        <v>1086.8</v>
      </c>
      <c r="N684" s="2" t="s">
        <v>23</v>
      </c>
      <c r="O684" s="2">
        <v>3</v>
      </c>
      <c r="P684" s="2" t="s">
        <v>24</v>
      </c>
    </row>
    <row r="685" spans="1:16" x14ac:dyDescent="0.25">
      <c r="A685" s="4">
        <v>45422</v>
      </c>
      <c r="B685" s="2" t="s">
        <v>1147</v>
      </c>
      <c r="C685" s="2" t="s">
        <v>881</v>
      </c>
      <c r="D685" t="s">
        <v>47</v>
      </c>
      <c r="E685" s="2" t="s">
        <v>48</v>
      </c>
      <c r="F685" s="2" t="s">
        <v>61</v>
      </c>
      <c r="G685" s="2" t="s">
        <v>150</v>
      </c>
      <c r="H685" s="2" t="s">
        <v>209</v>
      </c>
      <c r="I685" s="2">
        <v>1</v>
      </c>
      <c r="J685" s="2">
        <v>701</v>
      </c>
      <c r="K685" s="2">
        <v>0</v>
      </c>
      <c r="L685" s="2">
        <v>0</v>
      </c>
      <c r="M685" s="2">
        <v>701</v>
      </c>
      <c r="N685" s="2" t="s">
        <v>50</v>
      </c>
      <c r="O685" s="2">
        <v>2</v>
      </c>
      <c r="P685" s="2" t="s">
        <v>24</v>
      </c>
    </row>
    <row r="686" spans="1:16" x14ac:dyDescent="0.25">
      <c r="A686" s="4">
        <v>45423</v>
      </c>
      <c r="B686" s="2" t="s">
        <v>1148</v>
      </c>
      <c r="C686" s="2" t="s">
        <v>1478</v>
      </c>
      <c r="D686" t="s">
        <v>174</v>
      </c>
      <c r="E686" s="2" t="s">
        <v>60</v>
      </c>
      <c r="F686" s="2" t="s">
        <v>35</v>
      </c>
      <c r="G686" s="2" t="s">
        <v>67</v>
      </c>
      <c r="H686" s="2" t="s">
        <v>68</v>
      </c>
      <c r="I686" s="2">
        <v>1</v>
      </c>
      <c r="J686" s="2">
        <v>21578</v>
      </c>
      <c r="K686" s="2">
        <v>15</v>
      </c>
      <c r="L686" s="2">
        <v>3236.7</v>
      </c>
      <c r="M686" s="2">
        <v>18341.3</v>
      </c>
      <c r="N686" s="2" t="s">
        <v>23</v>
      </c>
      <c r="O686" s="2">
        <v>2</v>
      </c>
      <c r="P686" s="2" t="s">
        <v>24</v>
      </c>
    </row>
    <row r="687" spans="1:16" x14ac:dyDescent="0.25">
      <c r="A687" s="4">
        <v>45424</v>
      </c>
      <c r="B687" s="2" t="s">
        <v>1149</v>
      </c>
      <c r="C687" s="2" t="s">
        <v>871</v>
      </c>
      <c r="D687" t="s">
        <v>47</v>
      </c>
      <c r="E687" s="2" t="s">
        <v>48</v>
      </c>
      <c r="F687" s="2" t="s">
        <v>20</v>
      </c>
      <c r="G687" s="2" t="s">
        <v>54</v>
      </c>
      <c r="H687" s="2" t="s">
        <v>118</v>
      </c>
      <c r="I687" s="2">
        <v>1</v>
      </c>
      <c r="J687" s="2">
        <v>3013</v>
      </c>
      <c r="K687" s="2">
        <v>10</v>
      </c>
      <c r="L687" s="2">
        <v>301.3</v>
      </c>
      <c r="M687" s="2">
        <v>2711.7</v>
      </c>
      <c r="N687" s="2" t="s">
        <v>56</v>
      </c>
      <c r="O687" s="2">
        <v>3</v>
      </c>
      <c r="P687" s="2" t="s">
        <v>24</v>
      </c>
    </row>
    <row r="688" spans="1:16" x14ac:dyDescent="0.25">
      <c r="A688" s="4">
        <v>45425</v>
      </c>
      <c r="B688" s="2" t="s">
        <v>1150</v>
      </c>
      <c r="C688" s="2" t="s">
        <v>161</v>
      </c>
      <c r="D688" t="s">
        <v>53</v>
      </c>
      <c r="E688" s="2" t="s">
        <v>53</v>
      </c>
      <c r="F688" s="2" t="s">
        <v>71</v>
      </c>
      <c r="G688" s="2" t="s">
        <v>106</v>
      </c>
      <c r="H688" s="2" t="s">
        <v>346</v>
      </c>
      <c r="I688" s="2">
        <v>2</v>
      </c>
      <c r="J688" s="2">
        <v>1390</v>
      </c>
      <c r="K688" s="2">
        <v>15</v>
      </c>
      <c r="L688" s="2">
        <v>417</v>
      </c>
      <c r="M688" s="2">
        <v>2363</v>
      </c>
      <c r="N688" s="2" t="s">
        <v>23</v>
      </c>
      <c r="O688" s="2">
        <v>2</v>
      </c>
      <c r="P688" s="2" t="s">
        <v>24</v>
      </c>
    </row>
    <row r="689" spans="1:16" x14ac:dyDescent="0.25">
      <c r="A689" s="4">
        <v>45426</v>
      </c>
      <c r="B689" s="2" t="s">
        <v>1151</v>
      </c>
      <c r="C689" s="2" t="s">
        <v>460</v>
      </c>
      <c r="D689" t="s">
        <v>27</v>
      </c>
      <c r="E689" s="2" t="s">
        <v>19</v>
      </c>
      <c r="F689" s="2" t="s">
        <v>71</v>
      </c>
      <c r="G689" s="2" t="s">
        <v>72</v>
      </c>
      <c r="H689" s="2" t="s">
        <v>73</v>
      </c>
      <c r="I689" s="2">
        <v>2</v>
      </c>
      <c r="J689" s="2">
        <v>139</v>
      </c>
      <c r="K689" s="2">
        <v>0</v>
      </c>
      <c r="L689" s="2">
        <v>0</v>
      </c>
      <c r="M689" s="2">
        <v>278</v>
      </c>
      <c r="N689" s="2" t="s">
        <v>50</v>
      </c>
      <c r="O689" s="2">
        <v>3</v>
      </c>
      <c r="P689" s="2" t="s">
        <v>24</v>
      </c>
    </row>
    <row r="690" spans="1:16" x14ac:dyDescent="0.25">
      <c r="A690" s="4">
        <v>45427</v>
      </c>
      <c r="B690" s="2" t="s">
        <v>1152</v>
      </c>
      <c r="C690" s="2" t="s">
        <v>407</v>
      </c>
      <c r="D690" t="s">
        <v>47</v>
      </c>
      <c r="E690" s="2" t="s">
        <v>48</v>
      </c>
      <c r="F690" s="2" t="s">
        <v>61</v>
      </c>
      <c r="G690" s="2" t="s">
        <v>262</v>
      </c>
      <c r="H690" s="2" t="s">
        <v>755</v>
      </c>
      <c r="I690" s="2">
        <v>1</v>
      </c>
      <c r="J690" s="2">
        <v>1181</v>
      </c>
      <c r="K690" s="2">
        <v>0</v>
      </c>
      <c r="L690" s="2">
        <v>0</v>
      </c>
      <c r="M690" s="2">
        <v>1181</v>
      </c>
      <c r="N690" s="2" t="s">
        <v>23</v>
      </c>
      <c r="O690" s="2">
        <v>5</v>
      </c>
      <c r="P690" s="2" t="s">
        <v>24</v>
      </c>
    </row>
    <row r="691" spans="1:16" x14ac:dyDescent="0.25">
      <c r="A691" s="4">
        <v>45428</v>
      </c>
      <c r="B691" s="2" t="s">
        <v>1153</v>
      </c>
      <c r="C691" s="2" t="s">
        <v>769</v>
      </c>
      <c r="D691" t="s">
        <v>18</v>
      </c>
      <c r="E691" s="2" t="s">
        <v>19</v>
      </c>
      <c r="F691" s="2" t="s">
        <v>28</v>
      </c>
      <c r="G691" s="2" t="s">
        <v>188</v>
      </c>
      <c r="H691" s="2" t="s">
        <v>292</v>
      </c>
      <c r="I691" s="2">
        <v>1</v>
      </c>
      <c r="J691" s="2">
        <v>1014</v>
      </c>
      <c r="K691" s="2">
        <v>5</v>
      </c>
      <c r="L691" s="2">
        <v>50.7</v>
      </c>
      <c r="M691" s="2">
        <v>963.3</v>
      </c>
      <c r="N691" s="2" t="s">
        <v>44</v>
      </c>
      <c r="O691" s="2">
        <v>3</v>
      </c>
      <c r="P691" s="2" t="s">
        <v>24</v>
      </c>
    </row>
    <row r="692" spans="1:16" x14ac:dyDescent="0.25">
      <c r="A692" s="4">
        <v>45429</v>
      </c>
      <c r="B692" s="2" t="s">
        <v>1154</v>
      </c>
      <c r="C692" s="2" t="s">
        <v>645</v>
      </c>
      <c r="D692" t="s">
        <v>174</v>
      </c>
      <c r="E692" s="2" t="s">
        <v>60</v>
      </c>
      <c r="F692" s="2" t="s">
        <v>71</v>
      </c>
      <c r="G692" s="2" t="s">
        <v>76</v>
      </c>
      <c r="H692" s="2" t="s">
        <v>402</v>
      </c>
      <c r="I692" s="2">
        <v>1</v>
      </c>
      <c r="J692" s="2">
        <v>1125</v>
      </c>
      <c r="K692" s="2">
        <v>0</v>
      </c>
      <c r="L692" s="2">
        <v>0</v>
      </c>
      <c r="M692" s="2">
        <v>1125</v>
      </c>
      <c r="N692" s="2" t="s">
        <v>44</v>
      </c>
      <c r="O692" s="2">
        <v>3</v>
      </c>
      <c r="P692" s="2" t="s">
        <v>24</v>
      </c>
    </row>
    <row r="693" spans="1:16" x14ac:dyDescent="0.25">
      <c r="A693" s="4">
        <v>45430</v>
      </c>
      <c r="B693" s="2" t="s">
        <v>1155</v>
      </c>
      <c r="C693" s="2" t="s">
        <v>458</v>
      </c>
      <c r="D693" t="s">
        <v>53</v>
      </c>
      <c r="E693" s="2" t="s">
        <v>53</v>
      </c>
      <c r="F693" s="2" t="s">
        <v>35</v>
      </c>
      <c r="G693" s="2" t="s">
        <v>124</v>
      </c>
      <c r="H693" s="2" t="s">
        <v>125</v>
      </c>
      <c r="I693" s="2">
        <v>1</v>
      </c>
      <c r="J693" s="2">
        <v>10208</v>
      </c>
      <c r="K693" s="2">
        <v>15</v>
      </c>
      <c r="L693" s="2">
        <v>1531.2</v>
      </c>
      <c r="M693" s="2">
        <v>8676.7999999999993</v>
      </c>
      <c r="N693" s="2" t="s">
        <v>23</v>
      </c>
      <c r="O693" s="2">
        <v>5</v>
      </c>
      <c r="P693" s="2" t="s">
        <v>24</v>
      </c>
    </row>
    <row r="694" spans="1:16" x14ac:dyDescent="0.25">
      <c r="A694" s="4">
        <v>45431</v>
      </c>
      <c r="B694" s="2" t="s">
        <v>1156</v>
      </c>
      <c r="C694" s="2" t="s">
        <v>737</v>
      </c>
      <c r="D694" t="s">
        <v>33</v>
      </c>
      <c r="E694" s="2" t="s">
        <v>34</v>
      </c>
      <c r="F694" s="2" t="s">
        <v>35</v>
      </c>
      <c r="G694" s="2" t="s">
        <v>130</v>
      </c>
      <c r="H694" s="2" t="s">
        <v>131</v>
      </c>
      <c r="I694" s="2">
        <v>3</v>
      </c>
      <c r="J694" s="2">
        <v>21770</v>
      </c>
      <c r="K694" s="2">
        <v>0</v>
      </c>
      <c r="L694" s="2">
        <v>0</v>
      </c>
      <c r="M694" s="2">
        <v>65310</v>
      </c>
      <c r="N694" s="2" t="s">
        <v>23</v>
      </c>
      <c r="O694" s="2">
        <v>4</v>
      </c>
      <c r="P694" s="2" t="s">
        <v>24</v>
      </c>
    </row>
    <row r="695" spans="1:16" x14ac:dyDescent="0.25">
      <c r="A695" s="4">
        <v>45432</v>
      </c>
      <c r="B695" s="2" t="s">
        <v>1157</v>
      </c>
      <c r="C695" s="2" t="s">
        <v>1478</v>
      </c>
      <c r="D695" t="s">
        <v>18</v>
      </c>
      <c r="E695" s="2" t="s">
        <v>19</v>
      </c>
      <c r="F695" s="2" t="s">
        <v>20</v>
      </c>
      <c r="G695" s="2" t="s">
        <v>21</v>
      </c>
      <c r="H695" s="2" t="s">
        <v>49</v>
      </c>
      <c r="I695" s="2">
        <v>1</v>
      </c>
      <c r="J695" s="2">
        <v>5684</v>
      </c>
      <c r="K695" s="2">
        <v>0</v>
      </c>
      <c r="L695" s="2">
        <v>0</v>
      </c>
      <c r="M695" s="2">
        <v>5684</v>
      </c>
      <c r="N695" s="2" t="s">
        <v>44</v>
      </c>
      <c r="O695" s="2">
        <v>3</v>
      </c>
      <c r="P695" s="2" t="s">
        <v>24</v>
      </c>
    </row>
    <row r="696" spans="1:16" x14ac:dyDescent="0.25">
      <c r="A696" s="4">
        <v>45433</v>
      </c>
      <c r="B696" s="2" t="s">
        <v>1158</v>
      </c>
      <c r="C696" s="2" t="s">
        <v>603</v>
      </c>
      <c r="D696" t="s">
        <v>53</v>
      </c>
      <c r="E696" s="2" t="s">
        <v>53</v>
      </c>
      <c r="F696" s="2" t="s">
        <v>61</v>
      </c>
      <c r="G696" s="2" t="s">
        <v>62</v>
      </c>
      <c r="H696" s="2" t="s">
        <v>63</v>
      </c>
      <c r="I696" s="2">
        <v>1</v>
      </c>
      <c r="J696" s="2">
        <v>1063</v>
      </c>
      <c r="K696" s="2">
        <v>10</v>
      </c>
      <c r="L696" s="2">
        <v>106.3</v>
      </c>
      <c r="M696" s="2">
        <v>956.7</v>
      </c>
      <c r="N696" s="2" t="s">
        <v>50</v>
      </c>
      <c r="O696" s="2">
        <v>1</v>
      </c>
      <c r="P696" s="2" t="s">
        <v>24</v>
      </c>
    </row>
    <row r="697" spans="1:16" x14ac:dyDescent="0.25">
      <c r="A697" s="4">
        <v>45434</v>
      </c>
      <c r="B697" s="2" t="s">
        <v>1159</v>
      </c>
      <c r="C697" s="2" t="s">
        <v>127</v>
      </c>
      <c r="D697" t="s">
        <v>66</v>
      </c>
      <c r="E697" s="2" t="s">
        <v>19</v>
      </c>
      <c r="F697" s="2" t="s">
        <v>28</v>
      </c>
      <c r="G697" s="2" t="s">
        <v>188</v>
      </c>
      <c r="H697" s="2" t="s">
        <v>189</v>
      </c>
      <c r="I697" s="2">
        <v>2</v>
      </c>
      <c r="J697" s="2">
        <v>1947</v>
      </c>
      <c r="K697" s="2">
        <v>10</v>
      </c>
      <c r="L697" s="2">
        <v>389.4</v>
      </c>
      <c r="M697" s="2">
        <v>3504.6</v>
      </c>
      <c r="N697" s="2" t="s">
        <v>23</v>
      </c>
      <c r="O697" s="2">
        <v>2</v>
      </c>
      <c r="P697" s="2" t="s">
        <v>24</v>
      </c>
    </row>
    <row r="698" spans="1:16" x14ac:dyDescent="0.25">
      <c r="A698" s="4">
        <v>45435</v>
      </c>
      <c r="B698" s="2" t="s">
        <v>1160</v>
      </c>
      <c r="C698" s="2" t="s">
        <v>548</v>
      </c>
      <c r="D698" t="s">
        <v>41</v>
      </c>
      <c r="E698" s="2" t="s">
        <v>19</v>
      </c>
      <c r="F698" s="2" t="s">
        <v>28</v>
      </c>
      <c r="G698" s="2" t="s">
        <v>110</v>
      </c>
      <c r="H698" s="2" t="s">
        <v>317</v>
      </c>
      <c r="I698" s="2">
        <v>1</v>
      </c>
      <c r="J698" s="2">
        <v>4127</v>
      </c>
      <c r="K698" s="2">
        <v>0</v>
      </c>
      <c r="L698" s="2">
        <v>0</v>
      </c>
      <c r="M698" s="2">
        <v>4127</v>
      </c>
      <c r="N698" s="2" t="s">
        <v>50</v>
      </c>
      <c r="O698" s="2">
        <v>3</v>
      </c>
      <c r="P698" s="2" t="s">
        <v>24</v>
      </c>
    </row>
    <row r="699" spans="1:16" x14ac:dyDescent="0.25">
      <c r="A699" s="4">
        <v>45436</v>
      </c>
      <c r="B699" s="2" t="s">
        <v>1161</v>
      </c>
      <c r="C699" s="2" t="s">
        <v>432</v>
      </c>
      <c r="D699" t="s">
        <v>59</v>
      </c>
      <c r="E699" s="2" t="s">
        <v>60</v>
      </c>
      <c r="F699" s="2" t="s">
        <v>61</v>
      </c>
      <c r="G699" s="2" t="s">
        <v>262</v>
      </c>
      <c r="H699" s="2" t="s">
        <v>482</v>
      </c>
      <c r="I699" s="2">
        <v>2</v>
      </c>
      <c r="J699" s="2">
        <v>1727</v>
      </c>
      <c r="K699" s="2">
        <v>0</v>
      </c>
      <c r="L699" s="2">
        <v>0</v>
      </c>
      <c r="M699" s="2">
        <v>3454</v>
      </c>
      <c r="N699" s="2" t="s">
        <v>44</v>
      </c>
      <c r="O699" s="2">
        <v>4</v>
      </c>
      <c r="P699" s="2" t="s">
        <v>24</v>
      </c>
    </row>
    <row r="700" spans="1:16" x14ac:dyDescent="0.25">
      <c r="A700" s="4">
        <v>45437</v>
      </c>
      <c r="B700" s="2" t="s">
        <v>1162</v>
      </c>
      <c r="C700" s="2" t="s">
        <v>255</v>
      </c>
      <c r="D700" t="s">
        <v>27</v>
      </c>
      <c r="E700" s="2" t="s">
        <v>19</v>
      </c>
      <c r="F700" s="2" t="s">
        <v>20</v>
      </c>
      <c r="G700" s="2" t="s">
        <v>54</v>
      </c>
      <c r="H700" s="2" t="s">
        <v>55</v>
      </c>
      <c r="I700" s="2">
        <v>1</v>
      </c>
      <c r="J700" s="2">
        <v>6980</v>
      </c>
      <c r="K700" s="2">
        <v>5</v>
      </c>
      <c r="L700" s="2">
        <v>349</v>
      </c>
      <c r="M700" s="2">
        <v>6631</v>
      </c>
      <c r="N700" s="2" t="s">
        <v>23</v>
      </c>
      <c r="O700" s="2">
        <v>1</v>
      </c>
      <c r="P700" s="2" t="s">
        <v>24</v>
      </c>
    </row>
    <row r="701" spans="1:16" x14ac:dyDescent="0.25">
      <c r="A701" s="4">
        <v>45438</v>
      </c>
      <c r="B701" s="2" t="s">
        <v>1163</v>
      </c>
      <c r="C701" s="2" t="s">
        <v>299</v>
      </c>
      <c r="D701" t="s">
        <v>27</v>
      </c>
      <c r="E701" s="2" t="s">
        <v>19</v>
      </c>
      <c r="F701" s="2" t="s">
        <v>35</v>
      </c>
      <c r="G701" s="2" t="s">
        <v>67</v>
      </c>
      <c r="H701" s="2" t="s">
        <v>68</v>
      </c>
      <c r="I701" s="2">
        <v>1</v>
      </c>
      <c r="J701" s="2">
        <v>19947</v>
      </c>
      <c r="K701" s="2">
        <v>0</v>
      </c>
      <c r="L701" s="2">
        <v>0</v>
      </c>
      <c r="M701" s="2">
        <v>19947</v>
      </c>
      <c r="N701" s="2" t="s">
        <v>44</v>
      </c>
      <c r="O701" s="2">
        <v>3</v>
      </c>
      <c r="P701" s="2" t="s">
        <v>24</v>
      </c>
    </row>
    <row r="702" spans="1:16" x14ac:dyDescent="0.25">
      <c r="A702" s="4">
        <v>45439</v>
      </c>
      <c r="B702" s="2" t="s">
        <v>1164</v>
      </c>
      <c r="C702" s="2" t="s">
        <v>494</v>
      </c>
      <c r="D702" t="s">
        <v>84</v>
      </c>
      <c r="E702" s="2" t="s">
        <v>85</v>
      </c>
      <c r="F702" s="2" t="s">
        <v>28</v>
      </c>
      <c r="G702" s="2" t="s">
        <v>188</v>
      </c>
      <c r="H702" s="2" t="s">
        <v>206</v>
      </c>
      <c r="I702" s="2">
        <v>1</v>
      </c>
      <c r="J702" s="2">
        <v>2239</v>
      </c>
      <c r="K702" s="2">
        <v>0</v>
      </c>
      <c r="L702" s="2">
        <v>0</v>
      </c>
      <c r="M702" s="2">
        <v>2239</v>
      </c>
      <c r="N702" s="2" t="s">
        <v>23</v>
      </c>
      <c r="O702" s="2">
        <v>2</v>
      </c>
      <c r="P702" s="2" t="s">
        <v>24</v>
      </c>
    </row>
    <row r="703" spans="1:16" x14ac:dyDescent="0.25">
      <c r="A703" s="4">
        <v>45440</v>
      </c>
      <c r="B703" s="2" t="s">
        <v>1165</v>
      </c>
      <c r="C703" s="2" t="s">
        <v>285</v>
      </c>
      <c r="D703" t="s">
        <v>41</v>
      </c>
      <c r="E703" s="2" t="s">
        <v>19</v>
      </c>
      <c r="F703" s="2" t="s">
        <v>28</v>
      </c>
      <c r="G703" s="2" t="s">
        <v>90</v>
      </c>
      <c r="H703" s="2" t="s">
        <v>103</v>
      </c>
      <c r="I703" s="2">
        <v>1</v>
      </c>
      <c r="J703" s="2">
        <v>1885</v>
      </c>
      <c r="K703" s="2">
        <v>15</v>
      </c>
      <c r="L703" s="2">
        <v>282.75</v>
      </c>
      <c r="M703" s="2">
        <v>1602.25</v>
      </c>
      <c r="N703" s="2" t="s">
        <v>56</v>
      </c>
      <c r="O703" s="2">
        <v>3</v>
      </c>
      <c r="P703" s="2" t="s">
        <v>24</v>
      </c>
    </row>
    <row r="704" spans="1:16" x14ac:dyDescent="0.25">
      <c r="A704" s="4">
        <v>45441</v>
      </c>
      <c r="B704" s="2" t="s">
        <v>1166</v>
      </c>
      <c r="C704" s="2" t="s">
        <v>847</v>
      </c>
      <c r="D704" t="s">
        <v>84</v>
      </c>
      <c r="E704" s="2" t="s">
        <v>85</v>
      </c>
      <c r="F704" s="2" t="s">
        <v>61</v>
      </c>
      <c r="G704" s="2" t="s">
        <v>200</v>
      </c>
      <c r="H704" s="2" t="s">
        <v>201</v>
      </c>
      <c r="I704" s="2">
        <v>2</v>
      </c>
      <c r="J704" s="2">
        <v>454</v>
      </c>
      <c r="K704" s="2">
        <v>0</v>
      </c>
      <c r="L704" s="2">
        <v>0</v>
      </c>
      <c r="M704" s="2">
        <v>908</v>
      </c>
      <c r="N704" s="2" t="s">
        <v>23</v>
      </c>
      <c r="O704" s="2">
        <v>2</v>
      </c>
      <c r="P704" s="2" t="s">
        <v>24</v>
      </c>
    </row>
    <row r="705" spans="1:16" x14ac:dyDescent="0.25">
      <c r="A705" s="4">
        <v>45442</v>
      </c>
      <c r="B705" s="2" t="s">
        <v>1167</v>
      </c>
      <c r="C705" s="2" t="s">
        <v>590</v>
      </c>
      <c r="D705" t="s">
        <v>33</v>
      </c>
      <c r="E705" s="2" t="s">
        <v>34</v>
      </c>
      <c r="F705" s="2" t="s">
        <v>71</v>
      </c>
      <c r="G705" s="2" t="s">
        <v>106</v>
      </c>
      <c r="H705" s="2" t="s">
        <v>1120</v>
      </c>
      <c r="I705" s="2">
        <v>1</v>
      </c>
      <c r="J705" s="2">
        <v>838</v>
      </c>
      <c r="K705" s="2">
        <v>5</v>
      </c>
      <c r="L705" s="2">
        <v>41.9</v>
      </c>
      <c r="M705" s="2">
        <v>796.1</v>
      </c>
      <c r="N705" s="2" t="s">
        <v>50</v>
      </c>
      <c r="O705" s="2">
        <v>2</v>
      </c>
      <c r="P705" s="2" t="s">
        <v>24</v>
      </c>
    </row>
    <row r="706" spans="1:16" x14ac:dyDescent="0.25">
      <c r="A706" s="4">
        <v>45443</v>
      </c>
      <c r="B706" s="2" t="s">
        <v>1168</v>
      </c>
      <c r="C706" s="2" t="s">
        <v>1102</v>
      </c>
      <c r="D706" t="s">
        <v>174</v>
      </c>
      <c r="E706" s="2" t="s">
        <v>60</v>
      </c>
      <c r="F706" s="2" t="s">
        <v>28</v>
      </c>
      <c r="G706" s="2" t="s">
        <v>188</v>
      </c>
      <c r="H706" s="2" t="s">
        <v>292</v>
      </c>
      <c r="I706" s="2">
        <v>1</v>
      </c>
      <c r="J706" s="2">
        <v>4772</v>
      </c>
      <c r="K706" s="2">
        <v>15</v>
      </c>
      <c r="L706" s="2">
        <v>715.8</v>
      </c>
      <c r="M706" s="2">
        <v>4056.2</v>
      </c>
      <c r="N706" s="2" t="s">
        <v>50</v>
      </c>
      <c r="O706" s="2">
        <v>3</v>
      </c>
      <c r="P706" s="2" t="s">
        <v>24</v>
      </c>
    </row>
    <row r="707" spans="1:16" x14ac:dyDescent="0.25">
      <c r="A707" s="4">
        <v>45444</v>
      </c>
      <c r="B707" s="2" t="s">
        <v>1169</v>
      </c>
      <c r="C707" s="2" t="s">
        <v>719</v>
      </c>
      <c r="D707" t="s">
        <v>41</v>
      </c>
      <c r="E707" s="2" t="s">
        <v>19</v>
      </c>
      <c r="F707" s="2" t="s">
        <v>28</v>
      </c>
      <c r="G707" s="2" t="s">
        <v>110</v>
      </c>
      <c r="H707" s="2" t="s">
        <v>317</v>
      </c>
      <c r="I707" s="2">
        <v>1</v>
      </c>
      <c r="J707" s="2">
        <v>540</v>
      </c>
      <c r="K707" s="2">
        <v>20</v>
      </c>
      <c r="L707" s="2">
        <v>108</v>
      </c>
      <c r="M707" s="2">
        <v>432</v>
      </c>
      <c r="N707" s="2" t="s">
        <v>44</v>
      </c>
      <c r="O707" s="2">
        <v>3</v>
      </c>
      <c r="P707" s="2" t="s">
        <v>24</v>
      </c>
    </row>
    <row r="708" spans="1:16" x14ac:dyDescent="0.25">
      <c r="A708" s="4">
        <v>45445</v>
      </c>
      <c r="B708" s="2" t="s">
        <v>1170</v>
      </c>
      <c r="C708" s="2" t="s">
        <v>40</v>
      </c>
      <c r="D708" t="s">
        <v>66</v>
      </c>
      <c r="E708" s="2" t="s">
        <v>19</v>
      </c>
      <c r="F708" s="2" t="s">
        <v>28</v>
      </c>
      <c r="G708" s="2" t="s">
        <v>29</v>
      </c>
      <c r="H708" s="2" t="s">
        <v>30</v>
      </c>
      <c r="I708" s="2">
        <v>1</v>
      </c>
      <c r="J708" s="2">
        <v>857</v>
      </c>
      <c r="K708" s="2">
        <v>20</v>
      </c>
      <c r="L708" s="2">
        <v>171.4</v>
      </c>
      <c r="M708" s="2">
        <v>685.6</v>
      </c>
      <c r="N708" s="2" t="s">
        <v>44</v>
      </c>
      <c r="O708" s="2">
        <v>5</v>
      </c>
      <c r="P708" s="2" t="s">
        <v>92</v>
      </c>
    </row>
    <row r="709" spans="1:16" x14ac:dyDescent="0.25">
      <c r="A709" s="4">
        <v>45446</v>
      </c>
      <c r="B709" s="2" t="s">
        <v>1171</v>
      </c>
      <c r="C709" s="2" t="s">
        <v>271</v>
      </c>
      <c r="D709" t="s">
        <v>18</v>
      </c>
      <c r="E709" s="2" t="s">
        <v>19</v>
      </c>
      <c r="F709" s="2" t="s">
        <v>35</v>
      </c>
      <c r="G709" s="2" t="s">
        <v>124</v>
      </c>
      <c r="H709" s="2" t="s">
        <v>399</v>
      </c>
      <c r="I709" s="2">
        <v>1</v>
      </c>
      <c r="J709" s="2">
        <v>39423</v>
      </c>
      <c r="K709" s="2">
        <v>0</v>
      </c>
      <c r="L709" s="2">
        <v>0</v>
      </c>
      <c r="M709" s="2">
        <v>39423</v>
      </c>
      <c r="N709" s="2" t="s">
        <v>23</v>
      </c>
      <c r="O709" s="2">
        <v>1</v>
      </c>
      <c r="P709" s="2" t="s">
        <v>24</v>
      </c>
    </row>
    <row r="710" spans="1:16" x14ac:dyDescent="0.25">
      <c r="A710" s="4">
        <v>45447</v>
      </c>
      <c r="B710" s="2" t="s">
        <v>1172</v>
      </c>
      <c r="C710" s="2" t="s">
        <v>129</v>
      </c>
      <c r="D710" t="s">
        <v>174</v>
      </c>
      <c r="E710" s="2" t="s">
        <v>60</v>
      </c>
      <c r="F710" s="2" t="s">
        <v>61</v>
      </c>
      <c r="G710" s="2" t="s">
        <v>62</v>
      </c>
      <c r="H710" s="2" t="s">
        <v>414</v>
      </c>
      <c r="I710" s="2">
        <v>1</v>
      </c>
      <c r="J710" s="2">
        <v>1629</v>
      </c>
      <c r="K710" s="2">
        <v>5</v>
      </c>
      <c r="L710" s="2">
        <v>81.45</v>
      </c>
      <c r="M710" s="2">
        <v>1547.55</v>
      </c>
      <c r="N710" s="2" t="s">
        <v>56</v>
      </c>
      <c r="O710" s="2">
        <v>1</v>
      </c>
      <c r="P710" s="2" t="s">
        <v>24</v>
      </c>
    </row>
    <row r="711" spans="1:16" x14ac:dyDescent="0.25">
      <c r="A711" s="4">
        <v>45448</v>
      </c>
      <c r="B711" s="2" t="s">
        <v>1173</v>
      </c>
      <c r="C711" s="2" t="s">
        <v>242</v>
      </c>
      <c r="D711" t="s">
        <v>18</v>
      </c>
      <c r="E711" s="2" t="s">
        <v>19</v>
      </c>
      <c r="F711" s="2" t="s">
        <v>35</v>
      </c>
      <c r="G711" s="2" t="s">
        <v>124</v>
      </c>
      <c r="H711" s="2" t="s">
        <v>125</v>
      </c>
      <c r="I711" s="2">
        <v>1</v>
      </c>
      <c r="J711" s="2">
        <v>1212</v>
      </c>
      <c r="K711" s="2">
        <v>15</v>
      </c>
      <c r="L711" s="2">
        <v>181.8</v>
      </c>
      <c r="M711" s="2">
        <v>1030.2</v>
      </c>
      <c r="N711" s="2" t="s">
        <v>50</v>
      </c>
      <c r="O711" s="2">
        <v>3</v>
      </c>
      <c r="P711" s="2" t="s">
        <v>24</v>
      </c>
    </row>
    <row r="712" spans="1:16" x14ac:dyDescent="0.25">
      <c r="A712" s="4">
        <v>45449</v>
      </c>
      <c r="B712" s="2" t="s">
        <v>1174</v>
      </c>
      <c r="C712" s="2" t="s">
        <v>324</v>
      </c>
      <c r="D712" t="s">
        <v>84</v>
      </c>
      <c r="E712" s="2" t="s">
        <v>85</v>
      </c>
      <c r="F712" s="2" t="s">
        <v>28</v>
      </c>
      <c r="G712" s="2" t="s">
        <v>188</v>
      </c>
      <c r="H712" s="2" t="s">
        <v>189</v>
      </c>
      <c r="I712" s="2">
        <v>1</v>
      </c>
      <c r="J712" s="2">
        <v>4672</v>
      </c>
      <c r="K712" s="2">
        <v>5</v>
      </c>
      <c r="L712" s="2">
        <v>233.6</v>
      </c>
      <c r="M712" s="2">
        <v>4438.3999999999996</v>
      </c>
      <c r="N712" s="2" t="s">
        <v>23</v>
      </c>
      <c r="O712" s="2">
        <v>2</v>
      </c>
      <c r="P712" s="2" t="s">
        <v>24</v>
      </c>
    </row>
    <row r="713" spans="1:16" x14ac:dyDescent="0.25">
      <c r="A713" s="4">
        <v>45450</v>
      </c>
      <c r="B713" s="2" t="s">
        <v>1175</v>
      </c>
      <c r="C713" s="2" t="s">
        <v>765</v>
      </c>
      <c r="D713" t="s">
        <v>66</v>
      </c>
      <c r="E713" s="2" t="s">
        <v>19</v>
      </c>
      <c r="F713" s="2" t="s">
        <v>61</v>
      </c>
      <c r="G713" s="2" t="s">
        <v>200</v>
      </c>
      <c r="H713" s="2" t="s">
        <v>226</v>
      </c>
      <c r="I713" s="2">
        <v>2</v>
      </c>
      <c r="J713" s="2">
        <v>910</v>
      </c>
      <c r="K713" s="2">
        <v>5</v>
      </c>
      <c r="L713" s="2">
        <v>91</v>
      </c>
      <c r="M713" s="2">
        <v>1729</v>
      </c>
      <c r="N713" s="2" t="s">
        <v>23</v>
      </c>
      <c r="O713" s="2">
        <v>1</v>
      </c>
      <c r="P713" s="2" t="s">
        <v>24</v>
      </c>
    </row>
    <row r="714" spans="1:16" x14ac:dyDescent="0.25">
      <c r="A714" s="4">
        <v>45451</v>
      </c>
      <c r="B714" s="2" t="s">
        <v>1176</v>
      </c>
      <c r="C714" s="2" t="s">
        <v>614</v>
      </c>
      <c r="D714" t="s">
        <v>18</v>
      </c>
      <c r="E714" s="2" t="s">
        <v>19</v>
      </c>
      <c r="F714" s="2" t="s">
        <v>28</v>
      </c>
      <c r="G714" s="2" t="s">
        <v>289</v>
      </c>
      <c r="H714" s="2" t="s">
        <v>439</v>
      </c>
      <c r="I714" s="2">
        <v>1</v>
      </c>
      <c r="J714" s="2">
        <v>2135</v>
      </c>
      <c r="K714" s="2">
        <v>0</v>
      </c>
      <c r="L714" s="2">
        <v>0</v>
      </c>
      <c r="M714" s="2">
        <v>2135</v>
      </c>
      <c r="N714" s="2" t="s">
        <v>23</v>
      </c>
      <c r="O714" s="2">
        <v>4</v>
      </c>
      <c r="P714" s="2" t="s">
        <v>24</v>
      </c>
    </row>
    <row r="715" spans="1:16" x14ac:dyDescent="0.25">
      <c r="A715" s="4">
        <v>45452</v>
      </c>
      <c r="B715" s="2" t="s">
        <v>1177</v>
      </c>
      <c r="C715" s="2" t="s">
        <v>1064</v>
      </c>
      <c r="D715" t="s">
        <v>41</v>
      </c>
      <c r="E715" s="2" t="s">
        <v>19</v>
      </c>
      <c r="F715" s="2" t="s">
        <v>35</v>
      </c>
      <c r="G715" s="2" t="s">
        <v>124</v>
      </c>
      <c r="H715" s="2" t="s">
        <v>142</v>
      </c>
      <c r="I715" s="2">
        <v>1</v>
      </c>
      <c r="J715" s="2">
        <v>21116</v>
      </c>
      <c r="K715" s="2">
        <v>10</v>
      </c>
      <c r="L715" s="2">
        <v>2111.6</v>
      </c>
      <c r="M715" s="2">
        <v>19004.400000000001</v>
      </c>
      <c r="N715" s="2" t="s">
        <v>38</v>
      </c>
      <c r="O715" s="2">
        <v>3</v>
      </c>
      <c r="P715" s="2" t="s">
        <v>24</v>
      </c>
    </row>
    <row r="716" spans="1:16" x14ac:dyDescent="0.25">
      <c r="A716" s="4">
        <v>45453</v>
      </c>
      <c r="B716" s="2" t="s">
        <v>1178</v>
      </c>
      <c r="C716" s="2" t="s">
        <v>1110</v>
      </c>
      <c r="D716" t="s">
        <v>47</v>
      </c>
      <c r="E716" s="2" t="s">
        <v>48</v>
      </c>
      <c r="F716" s="2" t="s">
        <v>28</v>
      </c>
      <c r="G716" s="2" t="s">
        <v>110</v>
      </c>
      <c r="H716" s="2" t="s">
        <v>956</v>
      </c>
      <c r="I716" s="2">
        <v>1</v>
      </c>
      <c r="J716" s="2">
        <v>1227</v>
      </c>
      <c r="K716" s="2">
        <v>0</v>
      </c>
      <c r="L716" s="2">
        <v>0</v>
      </c>
      <c r="M716" s="2">
        <v>1227</v>
      </c>
      <c r="N716" s="2" t="s">
        <v>44</v>
      </c>
      <c r="O716" s="2">
        <v>3</v>
      </c>
      <c r="P716" s="2" t="s">
        <v>24</v>
      </c>
    </row>
    <row r="717" spans="1:16" x14ac:dyDescent="0.25">
      <c r="A717" s="4">
        <v>45454</v>
      </c>
      <c r="B717" s="2" t="s">
        <v>1179</v>
      </c>
      <c r="C717" s="2" t="s">
        <v>1016</v>
      </c>
      <c r="D717" t="s">
        <v>174</v>
      </c>
      <c r="E717" s="2" t="s">
        <v>60</v>
      </c>
      <c r="F717" s="2" t="s">
        <v>28</v>
      </c>
      <c r="G717" s="2" t="s">
        <v>188</v>
      </c>
      <c r="H717" s="2" t="s">
        <v>206</v>
      </c>
      <c r="I717" s="2">
        <v>2</v>
      </c>
      <c r="J717" s="2">
        <v>2297</v>
      </c>
      <c r="K717" s="2">
        <v>10</v>
      </c>
      <c r="L717" s="2">
        <v>459.4</v>
      </c>
      <c r="M717" s="2">
        <v>4134.6000000000004</v>
      </c>
      <c r="N717" s="2" t="s">
        <v>44</v>
      </c>
      <c r="O717" s="2">
        <v>2</v>
      </c>
      <c r="P717" s="2" t="s">
        <v>24</v>
      </c>
    </row>
    <row r="718" spans="1:16" x14ac:dyDescent="0.25">
      <c r="A718" s="4">
        <v>45455</v>
      </c>
      <c r="B718" s="2" t="s">
        <v>1180</v>
      </c>
      <c r="C718" s="2" t="s">
        <v>697</v>
      </c>
      <c r="D718" t="s">
        <v>47</v>
      </c>
      <c r="E718" s="2" t="s">
        <v>48</v>
      </c>
      <c r="F718" s="2" t="s">
        <v>61</v>
      </c>
      <c r="G718" s="2" t="s">
        <v>62</v>
      </c>
      <c r="H718" s="2" t="s">
        <v>63</v>
      </c>
      <c r="I718" s="2">
        <v>1</v>
      </c>
      <c r="J718" s="2">
        <v>1609</v>
      </c>
      <c r="K718" s="2">
        <v>5</v>
      </c>
      <c r="L718" s="2">
        <v>80.45</v>
      </c>
      <c r="M718" s="2">
        <v>1528.55</v>
      </c>
      <c r="N718" s="2" t="s">
        <v>23</v>
      </c>
      <c r="O718" s="2">
        <v>3</v>
      </c>
      <c r="P718" s="2" t="s">
        <v>24</v>
      </c>
    </row>
    <row r="719" spans="1:16" x14ac:dyDescent="0.25">
      <c r="A719" s="4">
        <v>45456</v>
      </c>
      <c r="B719" s="2" t="s">
        <v>1181</v>
      </c>
      <c r="C719" s="2" t="s">
        <v>163</v>
      </c>
      <c r="D719" t="s">
        <v>41</v>
      </c>
      <c r="E719" s="2" t="s">
        <v>19</v>
      </c>
      <c r="F719" s="2" t="s">
        <v>61</v>
      </c>
      <c r="G719" s="2" t="s">
        <v>262</v>
      </c>
      <c r="H719" s="2" t="s">
        <v>482</v>
      </c>
      <c r="I719" s="2">
        <v>1</v>
      </c>
      <c r="J719" s="2">
        <v>1783</v>
      </c>
      <c r="K719" s="2">
        <v>5</v>
      </c>
      <c r="L719" s="2">
        <v>89.15</v>
      </c>
      <c r="M719" s="2">
        <v>1693.85</v>
      </c>
      <c r="N719" s="2" t="s">
        <v>50</v>
      </c>
      <c r="O719" s="2">
        <v>2</v>
      </c>
      <c r="P719" s="2" t="s">
        <v>24</v>
      </c>
    </row>
    <row r="720" spans="1:16" x14ac:dyDescent="0.25">
      <c r="A720" s="4">
        <v>45457</v>
      </c>
      <c r="B720" s="2" t="s">
        <v>1182</v>
      </c>
      <c r="C720" s="2" t="s">
        <v>194</v>
      </c>
      <c r="D720" t="s">
        <v>41</v>
      </c>
      <c r="E720" s="2" t="s">
        <v>19</v>
      </c>
      <c r="F720" s="2" t="s">
        <v>20</v>
      </c>
      <c r="G720" s="2" t="s">
        <v>139</v>
      </c>
      <c r="H720" s="2" t="s">
        <v>140</v>
      </c>
      <c r="I720" s="2">
        <v>1</v>
      </c>
      <c r="J720" s="2">
        <v>4176</v>
      </c>
      <c r="K720" s="2">
        <v>10</v>
      </c>
      <c r="L720" s="2">
        <v>417.6</v>
      </c>
      <c r="M720" s="2">
        <v>3758.4</v>
      </c>
      <c r="N720" s="2" t="s">
        <v>23</v>
      </c>
      <c r="O720" s="2">
        <v>1</v>
      </c>
      <c r="P720" s="2" t="s">
        <v>24</v>
      </c>
    </row>
    <row r="721" spans="1:16" x14ac:dyDescent="0.25">
      <c r="A721" s="4">
        <v>45458</v>
      </c>
      <c r="B721" s="2" t="s">
        <v>1183</v>
      </c>
      <c r="C721" s="2" t="s">
        <v>306</v>
      </c>
      <c r="D721" t="s">
        <v>18</v>
      </c>
      <c r="E721" s="2" t="s">
        <v>19</v>
      </c>
      <c r="F721" s="2" t="s">
        <v>20</v>
      </c>
      <c r="G721" s="2" t="s">
        <v>139</v>
      </c>
      <c r="H721" s="2" t="s">
        <v>327</v>
      </c>
      <c r="I721" s="2">
        <v>1</v>
      </c>
      <c r="J721" s="2">
        <v>3304</v>
      </c>
      <c r="K721" s="2">
        <v>20</v>
      </c>
      <c r="L721" s="2">
        <v>660.8</v>
      </c>
      <c r="M721" s="2">
        <v>2643.2</v>
      </c>
      <c r="N721" s="2" t="s">
        <v>50</v>
      </c>
      <c r="O721" s="2">
        <v>3</v>
      </c>
      <c r="P721" s="2" t="s">
        <v>24</v>
      </c>
    </row>
    <row r="722" spans="1:16" x14ac:dyDescent="0.25">
      <c r="A722" s="4">
        <v>45459</v>
      </c>
      <c r="B722" s="2" t="s">
        <v>1184</v>
      </c>
      <c r="C722" s="2" t="s">
        <v>650</v>
      </c>
      <c r="D722" t="s">
        <v>84</v>
      </c>
      <c r="E722" s="2" t="s">
        <v>85</v>
      </c>
      <c r="F722" s="2" t="s">
        <v>35</v>
      </c>
      <c r="G722" s="2" t="s">
        <v>124</v>
      </c>
      <c r="H722" s="2" t="s">
        <v>399</v>
      </c>
      <c r="I722" s="2">
        <v>2</v>
      </c>
      <c r="J722" s="2">
        <v>16544</v>
      </c>
      <c r="K722" s="2">
        <v>0</v>
      </c>
      <c r="L722" s="2">
        <v>0</v>
      </c>
      <c r="M722" s="2">
        <v>33088</v>
      </c>
      <c r="N722" s="2" t="s">
        <v>23</v>
      </c>
      <c r="O722" s="2">
        <v>2</v>
      </c>
      <c r="P722" s="2" t="s">
        <v>24</v>
      </c>
    </row>
    <row r="723" spans="1:16" x14ac:dyDescent="0.25">
      <c r="A723" s="4">
        <v>45460</v>
      </c>
      <c r="B723" s="2" t="s">
        <v>1185</v>
      </c>
      <c r="C723" s="2" t="s">
        <v>641</v>
      </c>
      <c r="D723" t="s">
        <v>59</v>
      </c>
      <c r="E723" s="2" t="s">
        <v>60</v>
      </c>
      <c r="F723" s="2" t="s">
        <v>61</v>
      </c>
      <c r="G723" s="2" t="s">
        <v>262</v>
      </c>
      <c r="H723" s="2" t="s">
        <v>310</v>
      </c>
      <c r="I723" s="2">
        <v>1</v>
      </c>
      <c r="J723" s="2">
        <v>325</v>
      </c>
      <c r="K723" s="2">
        <v>10</v>
      </c>
      <c r="L723" s="2">
        <v>32.5</v>
      </c>
      <c r="M723" s="2">
        <v>292.5</v>
      </c>
      <c r="N723" s="2" t="s">
        <v>44</v>
      </c>
      <c r="O723" s="2">
        <v>5</v>
      </c>
      <c r="P723" s="2" t="s">
        <v>24</v>
      </c>
    </row>
    <row r="724" spans="1:16" x14ac:dyDescent="0.25">
      <c r="A724" s="4">
        <v>45461</v>
      </c>
      <c r="B724" s="2" t="s">
        <v>1186</v>
      </c>
      <c r="C724" s="2" t="s">
        <v>708</v>
      </c>
      <c r="D724" t="s">
        <v>47</v>
      </c>
      <c r="E724" s="2" t="s">
        <v>48</v>
      </c>
      <c r="F724" s="2" t="s">
        <v>35</v>
      </c>
      <c r="G724" s="2" t="s">
        <v>130</v>
      </c>
      <c r="H724" s="2" t="s">
        <v>167</v>
      </c>
      <c r="I724" s="2">
        <v>3</v>
      </c>
      <c r="J724" s="2">
        <v>32369</v>
      </c>
      <c r="K724" s="2">
        <v>0</v>
      </c>
      <c r="L724" s="2">
        <v>0</v>
      </c>
      <c r="M724" s="2">
        <v>97107</v>
      </c>
      <c r="N724" s="2" t="s">
        <v>50</v>
      </c>
      <c r="O724" s="2">
        <v>3</v>
      </c>
      <c r="P724" s="2" t="s">
        <v>24</v>
      </c>
    </row>
    <row r="725" spans="1:16" x14ac:dyDescent="0.25">
      <c r="A725" s="4">
        <v>45462</v>
      </c>
      <c r="B725" s="2" t="s">
        <v>1187</v>
      </c>
      <c r="C725" s="2" t="s">
        <v>343</v>
      </c>
      <c r="D725" t="s">
        <v>53</v>
      </c>
      <c r="E725" s="2" t="s">
        <v>53</v>
      </c>
      <c r="F725" s="2" t="s">
        <v>20</v>
      </c>
      <c r="G725" s="2" t="s">
        <v>42</v>
      </c>
      <c r="H725" s="2" t="s">
        <v>195</v>
      </c>
      <c r="I725" s="2">
        <v>3</v>
      </c>
      <c r="J725" s="2">
        <v>7971</v>
      </c>
      <c r="K725" s="2">
        <v>10</v>
      </c>
      <c r="L725" s="2">
        <v>2391.3000000000002</v>
      </c>
      <c r="M725" s="2">
        <v>21521.7</v>
      </c>
      <c r="N725" s="2" t="s">
        <v>38</v>
      </c>
      <c r="O725" s="2">
        <v>2</v>
      </c>
      <c r="P725" s="2" t="s">
        <v>24</v>
      </c>
    </row>
    <row r="726" spans="1:16" x14ac:dyDescent="0.25">
      <c r="A726" s="4">
        <v>45463</v>
      </c>
      <c r="B726" s="2" t="s">
        <v>1188</v>
      </c>
      <c r="C726" s="2" t="s">
        <v>1189</v>
      </c>
      <c r="D726" t="s">
        <v>59</v>
      </c>
      <c r="E726" s="2" t="s">
        <v>60</v>
      </c>
      <c r="F726" s="2" t="s">
        <v>20</v>
      </c>
      <c r="G726" s="2" t="s">
        <v>139</v>
      </c>
      <c r="H726" s="2" t="s">
        <v>492</v>
      </c>
      <c r="I726" s="2">
        <v>1</v>
      </c>
      <c r="J726" s="2">
        <v>3618</v>
      </c>
      <c r="K726" s="2">
        <v>15</v>
      </c>
      <c r="L726" s="2">
        <v>542.70000000000005</v>
      </c>
      <c r="M726" s="2">
        <v>3075.3</v>
      </c>
      <c r="N726" s="2" t="s">
        <v>50</v>
      </c>
      <c r="O726" s="2">
        <v>2</v>
      </c>
      <c r="P726" s="2" t="s">
        <v>24</v>
      </c>
    </row>
    <row r="727" spans="1:16" x14ac:dyDescent="0.25">
      <c r="A727" s="4">
        <v>45464</v>
      </c>
      <c r="B727" s="2" t="s">
        <v>1190</v>
      </c>
      <c r="C727" s="2" t="s">
        <v>557</v>
      </c>
      <c r="D727" t="s">
        <v>174</v>
      </c>
      <c r="E727" s="2" t="s">
        <v>60</v>
      </c>
      <c r="F727" s="2" t="s">
        <v>35</v>
      </c>
      <c r="G727" s="2" t="s">
        <v>67</v>
      </c>
      <c r="H727" s="2" t="s">
        <v>364</v>
      </c>
      <c r="I727" s="2">
        <v>1</v>
      </c>
      <c r="J727" s="2">
        <v>19957</v>
      </c>
      <c r="K727" s="2">
        <v>5</v>
      </c>
      <c r="L727" s="2">
        <v>997.85</v>
      </c>
      <c r="M727" s="2">
        <v>18959.150000000001</v>
      </c>
      <c r="N727" s="2" t="s">
        <v>50</v>
      </c>
      <c r="O727" s="2">
        <v>3</v>
      </c>
      <c r="P727" s="2" t="s">
        <v>24</v>
      </c>
    </row>
    <row r="728" spans="1:16" x14ac:dyDescent="0.25">
      <c r="A728" s="4">
        <v>45465</v>
      </c>
      <c r="B728" s="2" t="s">
        <v>1191</v>
      </c>
      <c r="C728" s="2" t="s">
        <v>144</v>
      </c>
      <c r="D728" t="s">
        <v>47</v>
      </c>
      <c r="E728" s="2" t="s">
        <v>48</v>
      </c>
      <c r="F728" s="2" t="s">
        <v>71</v>
      </c>
      <c r="G728" s="2" t="s">
        <v>106</v>
      </c>
      <c r="H728" s="2" t="s">
        <v>346</v>
      </c>
      <c r="I728" s="2">
        <v>1</v>
      </c>
      <c r="J728" s="2">
        <v>1417</v>
      </c>
      <c r="K728" s="2">
        <v>5</v>
      </c>
      <c r="L728" s="2">
        <v>70.849999999999994</v>
      </c>
      <c r="M728" s="2">
        <v>1346.15</v>
      </c>
      <c r="N728" s="2" t="s">
        <v>23</v>
      </c>
      <c r="O728" s="2">
        <v>3</v>
      </c>
      <c r="P728" s="2" t="s">
        <v>24</v>
      </c>
    </row>
    <row r="729" spans="1:16" x14ac:dyDescent="0.25">
      <c r="A729" s="4">
        <v>45466</v>
      </c>
      <c r="B729" s="2" t="s">
        <v>1192</v>
      </c>
      <c r="C729" s="2" t="s">
        <v>102</v>
      </c>
      <c r="D729" t="s">
        <v>174</v>
      </c>
      <c r="E729" s="2" t="s">
        <v>60</v>
      </c>
      <c r="F729" s="2" t="s">
        <v>61</v>
      </c>
      <c r="G729" s="2" t="s">
        <v>62</v>
      </c>
      <c r="H729" s="2" t="s">
        <v>515</v>
      </c>
      <c r="I729" s="2">
        <v>2</v>
      </c>
      <c r="J729" s="2">
        <v>1216</v>
      </c>
      <c r="K729" s="2">
        <v>20</v>
      </c>
      <c r="L729" s="2">
        <v>486.4</v>
      </c>
      <c r="M729" s="2">
        <v>1945.6</v>
      </c>
      <c r="N729" s="2" t="s">
        <v>44</v>
      </c>
      <c r="O729" s="2">
        <v>5</v>
      </c>
      <c r="P729" s="2" t="s">
        <v>24</v>
      </c>
    </row>
    <row r="730" spans="1:16" x14ac:dyDescent="0.25">
      <c r="A730" s="4">
        <v>45467</v>
      </c>
      <c r="B730" s="2" t="s">
        <v>1193</v>
      </c>
      <c r="C730" s="2" t="s">
        <v>652</v>
      </c>
      <c r="D730" t="s">
        <v>33</v>
      </c>
      <c r="E730" s="2" t="s">
        <v>34</v>
      </c>
      <c r="F730" s="2" t="s">
        <v>35</v>
      </c>
      <c r="G730" s="2" t="s">
        <v>80</v>
      </c>
      <c r="H730" s="2" t="s">
        <v>214</v>
      </c>
      <c r="I730" s="2">
        <v>1</v>
      </c>
      <c r="J730" s="2">
        <v>36288</v>
      </c>
      <c r="K730" s="2">
        <v>5</v>
      </c>
      <c r="L730" s="2">
        <v>1814.4</v>
      </c>
      <c r="M730" s="2">
        <v>34473.599999999999</v>
      </c>
      <c r="N730" s="2" t="s">
        <v>38</v>
      </c>
      <c r="O730" s="2">
        <v>5</v>
      </c>
      <c r="P730" s="2" t="s">
        <v>24</v>
      </c>
    </row>
    <row r="731" spans="1:16" x14ac:dyDescent="0.25">
      <c r="A731" s="4">
        <v>45468</v>
      </c>
      <c r="B731" s="2" t="s">
        <v>1194</v>
      </c>
      <c r="C731" s="2" t="s">
        <v>102</v>
      </c>
      <c r="D731" t="s">
        <v>47</v>
      </c>
      <c r="E731" s="2" t="s">
        <v>48</v>
      </c>
      <c r="F731" s="2" t="s">
        <v>20</v>
      </c>
      <c r="G731" s="2" t="s">
        <v>54</v>
      </c>
      <c r="H731" s="2" t="s">
        <v>236</v>
      </c>
      <c r="I731" s="2">
        <v>2</v>
      </c>
      <c r="J731" s="2">
        <v>6028</v>
      </c>
      <c r="K731" s="2">
        <v>20</v>
      </c>
      <c r="L731" s="2">
        <v>2411.1999999999998</v>
      </c>
      <c r="M731" s="2">
        <v>9644.7999999999993</v>
      </c>
      <c r="N731" s="2" t="s">
        <v>50</v>
      </c>
      <c r="O731" s="2">
        <v>2</v>
      </c>
      <c r="P731" s="2" t="s">
        <v>24</v>
      </c>
    </row>
    <row r="732" spans="1:16" x14ac:dyDescent="0.25">
      <c r="A732" s="4">
        <v>45469</v>
      </c>
      <c r="B732" s="2" t="s">
        <v>1195</v>
      </c>
      <c r="C732" s="2" t="s">
        <v>1196</v>
      </c>
      <c r="D732" t="s">
        <v>27</v>
      </c>
      <c r="E732" s="2" t="s">
        <v>19</v>
      </c>
      <c r="F732" s="2" t="s">
        <v>20</v>
      </c>
      <c r="G732" s="2" t="s">
        <v>54</v>
      </c>
      <c r="H732" s="2" t="s">
        <v>55</v>
      </c>
      <c r="I732" s="2">
        <v>1</v>
      </c>
      <c r="J732" s="2">
        <v>4828</v>
      </c>
      <c r="K732" s="2">
        <v>5</v>
      </c>
      <c r="L732" s="2">
        <v>241.4</v>
      </c>
      <c r="M732" s="2">
        <v>4586.6000000000004</v>
      </c>
      <c r="N732" s="2" t="s">
        <v>50</v>
      </c>
      <c r="O732" s="2">
        <v>4</v>
      </c>
      <c r="P732" s="2" t="s">
        <v>24</v>
      </c>
    </row>
    <row r="733" spans="1:16" x14ac:dyDescent="0.25">
      <c r="A733" s="4">
        <v>45470</v>
      </c>
      <c r="B733" s="2" t="s">
        <v>1197</v>
      </c>
      <c r="C733" s="2" t="s">
        <v>144</v>
      </c>
      <c r="D733" t="s">
        <v>84</v>
      </c>
      <c r="E733" s="2" t="s">
        <v>85</v>
      </c>
      <c r="F733" s="2" t="s">
        <v>71</v>
      </c>
      <c r="G733" s="2" t="s">
        <v>114</v>
      </c>
      <c r="H733" s="2" t="s">
        <v>304</v>
      </c>
      <c r="I733" s="2">
        <v>2</v>
      </c>
      <c r="J733" s="2">
        <v>1312</v>
      </c>
      <c r="K733" s="2">
        <v>15</v>
      </c>
      <c r="L733" s="2">
        <v>393.6</v>
      </c>
      <c r="M733" s="2">
        <v>2230.4</v>
      </c>
      <c r="N733" s="2" t="s">
        <v>23</v>
      </c>
      <c r="O733" s="2">
        <v>3</v>
      </c>
      <c r="P733" s="2" t="s">
        <v>24</v>
      </c>
    </row>
    <row r="734" spans="1:16" x14ac:dyDescent="0.25">
      <c r="A734" s="4">
        <v>45471</v>
      </c>
      <c r="B734" s="2" t="s">
        <v>1198</v>
      </c>
      <c r="C734" s="2" t="s">
        <v>356</v>
      </c>
      <c r="D734" t="s">
        <v>33</v>
      </c>
      <c r="E734" s="2" t="s">
        <v>34</v>
      </c>
      <c r="F734" s="2" t="s">
        <v>61</v>
      </c>
      <c r="G734" s="2" t="s">
        <v>250</v>
      </c>
      <c r="H734" s="2" t="s">
        <v>504</v>
      </c>
      <c r="I734" s="2">
        <v>2</v>
      </c>
      <c r="J734" s="2">
        <v>606</v>
      </c>
      <c r="K734" s="2">
        <v>5</v>
      </c>
      <c r="L734" s="2">
        <v>60.6</v>
      </c>
      <c r="M734" s="2">
        <v>1151.4000000000001</v>
      </c>
      <c r="N734" s="2" t="s">
        <v>23</v>
      </c>
      <c r="O734" s="2">
        <v>4</v>
      </c>
      <c r="P734" s="2" t="s">
        <v>24</v>
      </c>
    </row>
    <row r="735" spans="1:16" x14ac:dyDescent="0.25">
      <c r="A735" s="4">
        <v>45472</v>
      </c>
      <c r="B735" s="2" t="s">
        <v>1199</v>
      </c>
      <c r="C735" s="2" t="s">
        <v>508</v>
      </c>
      <c r="D735" t="s">
        <v>66</v>
      </c>
      <c r="E735" s="2" t="s">
        <v>19</v>
      </c>
      <c r="F735" s="2" t="s">
        <v>61</v>
      </c>
      <c r="G735" s="2" t="s">
        <v>150</v>
      </c>
      <c r="H735" s="2" t="s">
        <v>209</v>
      </c>
      <c r="I735" s="2">
        <v>3</v>
      </c>
      <c r="J735" s="2">
        <v>698</v>
      </c>
      <c r="K735" s="2">
        <v>0</v>
      </c>
      <c r="L735" s="2">
        <v>0</v>
      </c>
      <c r="M735" s="2">
        <v>2094</v>
      </c>
      <c r="N735" s="2" t="s">
        <v>44</v>
      </c>
      <c r="O735" s="2">
        <v>7</v>
      </c>
      <c r="P735" s="2" t="s">
        <v>24</v>
      </c>
    </row>
    <row r="736" spans="1:16" x14ac:dyDescent="0.25">
      <c r="A736" s="4">
        <v>45473</v>
      </c>
      <c r="B736" s="2" t="s">
        <v>1200</v>
      </c>
      <c r="C736" s="2" t="s">
        <v>804</v>
      </c>
      <c r="D736" t="s">
        <v>18</v>
      </c>
      <c r="E736" s="2" t="s">
        <v>19</v>
      </c>
      <c r="F736" s="2" t="s">
        <v>35</v>
      </c>
      <c r="G736" s="2" t="s">
        <v>67</v>
      </c>
      <c r="H736" s="2" t="s">
        <v>368</v>
      </c>
      <c r="I736" s="2">
        <v>2</v>
      </c>
      <c r="J736" s="2">
        <v>34510</v>
      </c>
      <c r="K736" s="2">
        <v>20</v>
      </c>
      <c r="L736" s="2">
        <v>13804</v>
      </c>
      <c r="M736" s="2">
        <v>55216</v>
      </c>
      <c r="N736" s="2" t="s">
        <v>23</v>
      </c>
      <c r="O736" s="2">
        <v>5</v>
      </c>
      <c r="P736" s="2" t="s">
        <v>24</v>
      </c>
    </row>
    <row r="737" spans="1:16" x14ac:dyDescent="0.25">
      <c r="A737" s="4">
        <v>45474</v>
      </c>
      <c r="B737" s="2" t="s">
        <v>1201</v>
      </c>
      <c r="C737" s="2" t="s">
        <v>548</v>
      </c>
      <c r="D737" t="s">
        <v>18</v>
      </c>
      <c r="E737" s="2" t="s">
        <v>19</v>
      </c>
      <c r="F737" s="2" t="s">
        <v>71</v>
      </c>
      <c r="G737" s="2" t="s">
        <v>106</v>
      </c>
      <c r="H737" s="2" t="s">
        <v>107</v>
      </c>
      <c r="I737" s="2">
        <v>3</v>
      </c>
      <c r="J737" s="2">
        <v>1109</v>
      </c>
      <c r="K737" s="2">
        <v>0</v>
      </c>
      <c r="L737" s="2">
        <v>0</v>
      </c>
      <c r="M737" s="2">
        <v>3327</v>
      </c>
      <c r="N737" s="2" t="s">
        <v>23</v>
      </c>
      <c r="O737" s="2">
        <v>3</v>
      </c>
      <c r="P737" s="2" t="s">
        <v>24</v>
      </c>
    </row>
    <row r="738" spans="1:16" x14ac:dyDescent="0.25">
      <c r="A738" s="4">
        <v>45475</v>
      </c>
      <c r="B738" s="2" t="s">
        <v>1202</v>
      </c>
      <c r="C738" s="2" t="s">
        <v>387</v>
      </c>
      <c r="D738" t="s">
        <v>33</v>
      </c>
      <c r="E738" s="2" t="s">
        <v>34</v>
      </c>
      <c r="F738" s="2" t="s">
        <v>71</v>
      </c>
      <c r="G738" s="2" t="s">
        <v>106</v>
      </c>
      <c r="H738" s="2" t="s">
        <v>1120</v>
      </c>
      <c r="I738" s="2">
        <v>2</v>
      </c>
      <c r="J738" s="2">
        <v>241</v>
      </c>
      <c r="K738" s="2">
        <v>0</v>
      </c>
      <c r="L738" s="2">
        <v>0</v>
      </c>
      <c r="M738" s="2">
        <v>482</v>
      </c>
      <c r="N738" s="2" t="s">
        <v>23</v>
      </c>
      <c r="O738" s="2">
        <v>3</v>
      </c>
      <c r="P738" s="2" t="s">
        <v>24</v>
      </c>
    </row>
    <row r="739" spans="1:16" x14ac:dyDescent="0.25">
      <c r="A739" s="4">
        <v>45476</v>
      </c>
      <c r="B739" s="2" t="s">
        <v>1203</v>
      </c>
      <c r="C739" s="2" t="s">
        <v>169</v>
      </c>
      <c r="D739" t="s">
        <v>41</v>
      </c>
      <c r="E739" s="2" t="s">
        <v>19</v>
      </c>
      <c r="F739" s="2" t="s">
        <v>71</v>
      </c>
      <c r="G739" s="2" t="s">
        <v>114</v>
      </c>
      <c r="H739" s="2" t="s">
        <v>115</v>
      </c>
      <c r="I739" s="2">
        <v>1</v>
      </c>
      <c r="J739" s="2">
        <v>783</v>
      </c>
      <c r="K739" s="2">
        <v>0</v>
      </c>
      <c r="L739" s="2">
        <v>0</v>
      </c>
      <c r="M739" s="2">
        <v>783</v>
      </c>
      <c r="N739" s="2" t="s">
        <v>56</v>
      </c>
      <c r="O739" s="2">
        <v>2</v>
      </c>
      <c r="P739" s="2" t="s">
        <v>24</v>
      </c>
    </row>
    <row r="740" spans="1:16" x14ac:dyDescent="0.25">
      <c r="A740" s="4">
        <v>45477</v>
      </c>
      <c r="B740" s="2" t="s">
        <v>1204</v>
      </c>
      <c r="C740" s="2" t="s">
        <v>348</v>
      </c>
      <c r="D740" t="s">
        <v>53</v>
      </c>
      <c r="E740" s="2" t="s">
        <v>53</v>
      </c>
      <c r="F740" s="2" t="s">
        <v>61</v>
      </c>
      <c r="G740" s="2" t="s">
        <v>200</v>
      </c>
      <c r="H740" s="2" t="s">
        <v>587</v>
      </c>
      <c r="I740" s="2">
        <v>1</v>
      </c>
      <c r="J740" s="2">
        <v>1336</v>
      </c>
      <c r="K740" s="2">
        <v>0</v>
      </c>
      <c r="L740" s="2">
        <v>0</v>
      </c>
      <c r="M740" s="2">
        <v>1336</v>
      </c>
      <c r="N740" s="2" t="s">
        <v>44</v>
      </c>
      <c r="O740" s="2">
        <v>2</v>
      </c>
      <c r="P740" s="2" t="s">
        <v>24</v>
      </c>
    </row>
    <row r="741" spans="1:16" x14ac:dyDescent="0.25">
      <c r="A741" s="4">
        <v>45478</v>
      </c>
      <c r="B741" s="2" t="s">
        <v>1205</v>
      </c>
      <c r="C741" s="2" t="s">
        <v>127</v>
      </c>
      <c r="D741" t="s">
        <v>33</v>
      </c>
      <c r="E741" s="2" t="s">
        <v>34</v>
      </c>
      <c r="F741" s="2" t="s">
        <v>61</v>
      </c>
      <c r="G741" s="2" t="s">
        <v>200</v>
      </c>
      <c r="H741" s="2" t="s">
        <v>331</v>
      </c>
      <c r="I741" s="2">
        <v>1</v>
      </c>
      <c r="J741" s="2">
        <v>300</v>
      </c>
      <c r="K741" s="2">
        <v>20</v>
      </c>
      <c r="L741" s="2">
        <v>60</v>
      </c>
      <c r="M741" s="2">
        <v>240</v>
      </c>
      <c r="N741" s="2" t="s">
        <v>23</v>
      </c>
      <c r="O741" s="2">
        <v>3</v>
      </c>
      <c r="P741" s="2" t="s">
        <v>24</v>
      </c>
    </row>
    <row r="742" spans="1:16" x14ac:dyDescent="0.25">
      <c r="A742" s="4">
        <v>45479</v>
      </c>
      <c r="B742" s="2" t="s">
        <v>1206</v>
      </c>
      <c r="C742" s="2" t="s">
        <v>620</v>
      </c>
      <c r="D742" t="s">
        <v>66</v>
      </c>
      <c r="E742" s="2" t="s">
        <v>19</v>
      </c>
      <c r="F742" s="2" t="s">
        <v>28</v>
      </c>
      <c r="G742" s="2" t="s">
        <v>90</v>
      </c>
      <c r="H742" s="2" t="s">
        <v>456</v>
      </c>
      <c r="I742" s="2">
        <v>1</v>
      </c>
      <c r="J742" s="2">
        <v>657</v>
      </c>
      <c r="K742" s="2">
        <v>5</v>
      </c>
      <c r="L742" s="2">
        <v>32.85</v>
      </c>
      <c r="M742" s="2">
        <v>624.15</v>
      </c>
      <c r="N742" s="2" t="s">
        <v>56</v>
      </c>
      <c r="O742" s="2">
        <v>3</v>
      </c>
      <c r="P742" s="2" t="s">
        <v>24</v>
      </c>
    </row>
    <row r="743" spans="1:16" x14ac:dyDescent="0.25">
      <c r="A743" s="4">
        <v>45480</v>
      </c>
      <c r="B743" s="2" t="s">
        <v>1207</v>
      </c>
      <c r="C743" s="2" t="s">
        <v>697</v>
      </c>
      <c r="D743" t="s">
        <v>84</v>
      </c>
      <c r="E743" s="2" t="s">
        <v>85</v>
      </c>
      <c r="F743" s="2" t="s">
        <v>35</v>
      </c>
      <c r="G743" s="2" t="s">
        <v>80</v>
      </c>
      <c r="H743" s="2" t="s">
        <v>81</v>
      </c>
      <c r="I743" s="2">
        <v>1</v>
      </c>
      <c r="J743" s="2">
        <v>2009</v>
      </c>
      <c r="K743" s="2">
        <v>0</v>
      </c>
      <c r="L743" s="2">
        <v>0</v>
      </c>
      <c r="M743" s="2">
        <v>2009</v>
      </c>
      <c r="N743" s="2" t="s">
        <v>50</v>
      </c>
      <c r="O743" s="2">
        <v>4</v>
      </c>
      <c r="P743" s="2" t="s">
        <v>24</v>
      </c>
    </row>
    <row r="744" spans="1:16" x14ac:dyDescent="0.25">
      <c r="A744" s="4">
        <v>45481</v>
      </c>
      <c r="B744" s="2" t="s">
        <v>1208</v>
      </c>
      <c r="C744" s="2" t="s">
        <v>147</v>
      </c>
      <c r="D744" t="s">
        <v>174</v>
      </c>
      <c r="E744" s="2" t="s">
        <v>60</v>
      </c>
      <c r="F744" s="2" t="s">
        <v>28</v>
      </c>
      <c r="G744" s="2" t="s">
        <v>110</v>
      </c>
      <c r="H744" s="2" t="s">
        <v>317</v>
      </c>
      <c r="I744" s="2">
        <v>1</v>
      </c>
      <c r="J744" s="2">
        <v>2032</v>
      </c>
      <c r="K744" s="2">
        <v>5</v>
      </c>
      <c r="L744" s="2">
        <v>101.6</v>
      </c>
      <c r="M744" s="2">
        <v>1930.4</v>
      </c>
      <c r="N744" s="2" t="s">
        <v>23</v>
      </c>
      <c r="O744" s="2">
        <v>3</v>
      </c>
      <c r="P744" s="2" t="s">
        <v>24</v>
      </c>
    </row>
    <row r="745" spans="1:16" x14ac:dyDescent="0.25">
      <c r="A745" s="4">
        <v>45482</v>
      </c>
      <c r="B745" s="2" t="s">
        <v>1209</v>
      </c>
      <c r="C745" s="2" t="s">
        <v>144</v>
      </c>
      <c r="D745" t="s">
        <v>27</v>
      </c>
      <c r="E745" s="2" t="s">
        <v>19</v>
      </c>
      <c r="F745" s="2" t="s">
        <v>61</v>
      </c>
      <c r="G745" s="2" t="s">
        <v>62</v>
      </c>
      <c r="H745" s="2" t="s">
        <v>63</v>
      </c>
      <c r="I745" s="2">
        <v>1</v>
      </c>
      <c r="J745" s="2">
        <v>1345</v>
      </c>
      <c r="K745" s="2">
        <v>5</v>
      </c>
      <c r="L745" s="2">
        <v>67.25</v>
      </c>
      <c r="M745" s="2">
        <v>1277.75</v>
      </c>
      <c r="N745" s="2" t="s">
        <v>44</v>
      </c>
      <c r="O745" s="2">
        <v>8</v>
      </c>
      <c r="P745" s="2" t="s">
        <v>24</v>
      </c>
    </row>
    <row r="746" spans="1:16" x14ac:dyDescent="0.25">
      <c r="A746" s="4">
        <v>45483</v>
      </c>
      <c r="B746" s="2" t="s">
        <v>1210</v>
      </c>
      <c r="C746" s="2" t="s">
        <v>703</v>
      </c>
      <c r="D746" t="s">
        <v>41</v>
      </c>
      <c r="E746" s="2" t="s">
        <v>19</v>
      </c>
      <c r="F746" s="2" t="s">
        <v>20</v>
      </c>
      <c r="G746" s="2" t="s">
        <v>139</v>
      </c>
      <c r="H746" s="2" t="s">
        <v>646</v>
      </c>
      <c r="I746" s="2">
        <v>1</v>
      </c>
      <c r="J746" s="2">
        <v>1936</v>
      </c>
      <c r="K746" s="2">
        <v>5</v>
      </c>
      <c r="L746" s="2">
        <v>96.8</v>
      </c>
      <c r="M746" s="2">
        <v>1839.2</v>
      </c>
      <c r="N746" s="2" t="s">
        <v>56</v>
      </c>
      <c r="O746" s="2">
        <v>1</v>
      </c>
      <c r="P746" s="2" t="s">
        <v>24</v>
      </c>
    </row>
    <row r="747" spans="1:16" x14ac:dyDescent="0.25">
      <c r="A747" s="4">
        <v>45484</v>
      </c>
      <c r="B747" s="2" t="s">
        <v>1211</v>
      </c>
      <c r="C747" s="2" t="s">
        <v>578</v>
      </c>
      <c r="D747" t="s">
        <v>27</v>
      </c>
      <c r="E747" s="2" t="s">
        <v>19</v>
      </c>
      <c r="F747" s="2" t="s">
        <v>20</v>
      </c>
      <c r="G747" s="2" t="s">
        <v>42</v>
      </c>
      <c r="H747" s="2" t="s">
        <v>133</v>
      </c>
      <c r="I747" s="2">
        <v>1</v>
      </c>
      <c r="J747" s="2">
        <v>3562</v>
      </c>
      <c r="K747" s="2">
        <v>0</v>
      </c>
      <c r="L747" s="2">
        <v>0</v>
      </c>
      <c r="M747" s="2">
        <v>3562</v>
      </c>
      <c r="N747" s="2" t="s">
        <v>23</v>
      </c>
      <c r="O747" s="2">
        <v>3</v>
      </c>
      <c r="P747" s="2" t="s">
        <v>24</v>
      </c>
    </row>
    <row r="748" spans="1:16" x14ac:dyDescent="0.25">
      <c r="A748" s="4">
        <v>45485</v>
      </c>
      <c r="B748" s="2" t="s">
        <v>1212</v>
      </c>
      <c r="C748" s="2" t="s">
        <v>120</v>
      </c>
      <c r="D748" t="s">
        <v>33</v>
      </c>
      <c r="E748" s="2" t="s">
        <v>34</v>
      </c>
      <c r="F748" s="2" t="s">
        <v>28</v>
      </c>
      <c r="G748" s="2" t="s">
        <v>289</v>
      </c>
      <c r="H748" s="2" t="s">
        <v>300</v>
      </c>
      <c r="I748" s="2">
        <v>1</v>
      </c>
      <c r="J748" s="2">
        <v>1401</v>
      </c>
      <c r="K748" s="2">
        <v>0</v>
      </c>
      <c r="L748" s="2">
        <v>0</v>
      </c>
      <c r="M748" s="2">
        <v>1401</v>
      </c>
      <c r="N748" s="2" t="s">
        <v>23</v>
      </c>
      <c r="O748" s="2">
        <v>2</v>
      </c>
      <c r="P748" s="2" t="s">
        <v>24</v>
      </c>
    </row>
    <row r="749" spans="1:16" x14ac:dyDescent="0.25">
      <c r="A749" s="4">
        <v>45486</v>
      </c>
      <c r="B749" s="2" t="s">
        <v>1213</v>
      </c>
      <c r="C749" s="2" t="s">
        <v>996</v>
      </c>
      <c r="D749" t="s">
        <v>27</v>
      </c>
      <c r="E749" s="2" t="s">
        <v>19</v>
      </c>
      <c r="F749" s="2" t="s">
        <v>35</v>
      </c>
      <c r="G749" s="2" t="s">
        <v>36</v>
      </c>
      <c r="H749" s="2" t="s">
        <v>98</v>
      </c>
      <c r="I749" s="2">
        <v>1</v>
      </c>
      <c r="J749" s="2">
        <v>35054</v>
      </c>
      <c r="K749" s="2">
        <v>10</v>
      </c>
      <c r="L749" s="2">
        <v>3505.4</v>
      </c>
      <c r="M749" s="2">
        <v>31548.6</v>
      </c>
      <c r="N749" s="2" t="s">
        <v>44</v>
      </c>
      <c r="O749" s="2">
        <v>8</v>
      </c>
      <c r="P749" s="2" t="s">
        <v>24</v>
      </c>
    </row>
    <row r="750" spans="1:16" x14ac:dyDescent="0.25">
      <c r="A750" s="4">
        <v>45487</v>
      </c>
      <c r="B750" s="2" t="s">
        <v>1214</v>
      </c>
      <c r="C750" s="2" t="s">
        <v>630</v>
      </c>
      <c r="D750" t="s">
        <v>59</v>
      </c>
      <c r="E750" s="2" t="s">
        <v>60</v>
      </c>
      <c r="F750" s="2" t="s">
        <v>20</v>
      </c>
      <c r="G750" s="2" t="s">
        <v>139</v>
      </c>
      <c r="H750" s="2" t="s">
        <v>492</v>
      </c>
      <c r="I750" s="2">
        <v>1</v>
      </c>
      <c r="J750" s="2">
        <v>683</v>
      </c>
      <c r="K750" s="2">
        <v>0</v>
      </c>
      <c r="L750" s="2">
        <v>0</v>
      </c>
      <c r="M750" s="2">
        <v>683</v>
      </c>
      <c r="N750" s="2" t="s">
        <v>50</v>
      </c>
      <c r="O750" s="2">
        <v>3</v>
      </c>
      <c r="P750" s="2" t="s">
        <v>24</v>
      </c>
    </row>
    <row r="751" spans="1:16" x14ac:dyDescent="0.25">
      <c r="A751" s="4">
        <v>45488</v>
      </c>
      <c r="B751" s="2" t="s">
        <v>1215</v>
      </c>
      <c r="C751" s="2" t="s">
        <v>826</v>
      </c>
      <c r="D751" t="s">
        <v>53</v>
      </c>
      <c r="E751" s="2" t="s">
        <v>53</v>
      </c>
      <c r="F751" s="2" t="s">
        <v>71</v>
      </c>
      <c r="G751" s="2" t="s">
        <v>114</v>
      </c>
      <c r="H751" s="2" t="s">
        <v>178</v>
      </c>
      <c r="I751" s="2">
        <v>1</v>
      </c>
      <c r="J751" s="2">
        <v>632</v>
      </c>
      <c r="K751" s="2">
        <v>0</v>
      </c>
      <c r="L751" s="2">
        <v>0</v>
      </c>
      <c r="M751" s="2">
        <v>632</v>
      </c>
      <c r="N751" s="2" t="s">
        <v>38</v>
      </c>
      <c r="O751" s="2">
        <v>1</v>
      </c>
      <c r="P751" s="2" t="s">
        <v>24</v>
      </c>
    </row>
    <row r="752" spans="1:16" x14ac:dyDescent="0.25">
      <c r="A752" s="4">
        <v>45489</v>
      </c>
      <c r="B752" s="2" t="s">
        <v>1216</v>
      </c>
      <c r="C752" s="2" t="s">
        <v>801</v>
      </c>
      <c r="D752" t="s">
        <v>18</v>
      </c>
      <c r="E752" s="2" t="s">
        <v>19</v>
      </c>
      <c r="F752" s="2" t="s">
        <v>20</v>
      </c>
      <c r="G752" s="2" t="s">
        <v>54</v>
      </c>
      <c r="H752" s="2" t="s">
        <v>118</v>
      </c>
      <c r="I752" s="2">
        <v>1</v>
      </c>
      <c r="J752" s="2">
        <v>2550</v>
      </c>
      <c r="K752" s="2">
        <v>5</v>
      </c>
      <c r="L752" s="2">
        <v>127.5</v>
      </c>
      <c r="M752" s="2">
        <v>2422.5</v>
      </c>
      <c r="N752" s="2" t="s">
        <v>56</v>
      </c>
      <c r="O752" s="2">
        <v>2</v>
      </c>
      <c r="P752" s="2" t="s">
        <v>24</v>
      </c>
    </row>
    <row r="753" spans="1:16" x14ac:dyDescent="0.25">
      <c r="A753" s="4">
        <v>45490</v>
      </c>
      <c r="B753" s="2" t="s">
        <v>1217</v>
      </c>
      <c r="C753" s="2" t="s">
        <v>452</v>
      </c>
      <c r="D753" t="s">
        <v>59</v>
      </c>
      <c r="E753" s="2" t="s">
        <v>60</v>
      </c>
      <c r="F753" s="2" t="s">
        <v>20</v>
      </c>
      <c r="G753" s="2" t="s">
        <v>170</v>
      </c>
      <c r="H753" s="2" t="s">
        <v>469</v>
      </c>
      <c r="I753" s="2">
        <v>2</v>
      </c>
      <c r="J753" s="2">
        <v>7981</v>
      </c>
      <c r="K753" s="2">
        <v>0</v>
      </c>
      <c r="L753" s="2">
        <v>0</v>
      </c>
      <c r="M753" s="2">
        <v>15962</v>
      </c>
      <c r="N753" s="2" t="s">
        <v>23</v>
      </c>
      <c r="O753" s="2">
        <v>1</v>
      </c>
      <c r="P753" s="2" t="s">
        <v>24</v>
      </c>
    </row>
    <row r="754" spans="1:16" x14ac:dyDescent="0.25">
      <c r="A754" s="4">
        <v>45491</v>
      </c>
      <c r="B754" s="2" t="s">
        <v>1218</v>
      </c>
      <c r="C754" s="2" t="s">
        <v>319</v>
      </c>
      <c r="D754" t="s">
        <v>59</v>
      </c>
      <c r="E754" s="2" t="s">
        <v>60</v>
      </c>
      <c r="F754" s="2" t="s">
        <v>28</v>
      </c>
      <c r="G754" s="2" t="s">
        <v>90</v>
      </c>
      <c r="H754" s="2" t="s">
        <v>91</v>
      </c>
      <c r="I754" s="2">
        <v>1</v>
      </c>
      <c r="J754" s="2">
        <v>4803</v>
      </c>
      <c r="K754" s="2">
        <v>0</v>
      </c>
      <c r="L754" s="2">
        <v>0</v>
      </c>
      <c r="M754" s="2">
        <v>4803</v>
      </c>
      <c r="N754" s="2" t="s">
        <v>44</v>
      </c>
      <c r="O754" s="2">
        <v>2</v>
      </c>
      <c r="P754" s="2" t="s">
        <v>24</v>
      </c>
    </row>
    <row r="755" spans="1:16" x14ac:dyDescent="0.25">
      <c r="A755" s="4">
        <v>45492</v>
      </c>
      <c r="B755" s="2" t="s">
        <v>1219</v>
      </c>
      <c r="C755" s="2" t="s">
        <v>123</v>
      </c>
      <c r="D755" t="s">
        <v>47</v>
      </c>
      <c r="E755" s="2" t="s">
        <v>48</v>
      </c>
      <c r="F755" s="2" t="s">
        <v>71</v>
      </c>
      <c r="G755" s="2" t="s">
        <v>106</v>
      </c>
      <c r="H755" s="2" t="s">
        <v>1120</v>
      </c>
      <c r="I755" s="2">
        <v>1</v>
      </c>
      <c r="J755" s="2">
        <v>703</v>
      </c>
      <c r="K755" s="2">
        <v>15</v>
      </c>
      <c r="L755" s="2">
        <v>105.45</v>
      </c>
      <c r="M755" s="2">
        <v>597.54999999999995</v>
      </c>
      <c r="N755" s="2" t="s">
        <v>44</v>
      </c>
      <c r="O755" s="2">
        <v>5</v>
      </c>
      <c r="P755" s="2" t="s">
        <v>24</v>
      </c>
    </row>
    <row r="756" spans="1:16" x14ac:dyDescent="0.25">
      <c r="A756" s="4">
        <v>45493</v>
      </c>
      <c r="B756" s="2" t="s">
        <v>1220</v>
      </c>
      <c r="C756" s="2" t="s">
        <v>819</v>
      </c>
      <c r="D756" t="s">
        <v>33</v>
      </c>
      <c r="E756" s="2" t="s">
        <v>34</v>
      </c>
      <c r="F756" s="2" t="s">
        <v>71</v>
      </c>
      <c r="G756" s="2" t="s">
        <v>86</v>
      </c>
      <c r="H756" s="2" t="s">
        <v>145</v>
      </c>
      <c r="I756" s="2">
        <v>1</v>
      </c>
      <c r="J756" s="2">
        <v>1038</v>
      </c>
      <c r="K756" s="2">
        <v>0</v>
      </c>
      <c r="L756" s="2">
        <v>0</v>
      </c>
      <c r="M756" s="2">
        <v>1038</v>
      </c>
      <c r="N756" s="2" t="s">
        <v>23</v>
      </c>
      <c r="O756" s="2">
        <v>2</v>
      </c>
      <c r="P756" s="2" t="s">
        <v>24</v>
      </c>
    </row>
    <row r="757" spans="1:16" x14ac:dyDescent="0.25">
      <c r="A757" s="4">
        <v>45494</v>
      </c>
      <c r="B757" s="2" t="s">
        <v>1221</v>
      </c>
      <c r="C757" s="2" t="s">
        <v>494</v>
      </c>
      <c r="D757" t="s">
        <v>27</v>
      </c>
      <c r="E757" s="2" t="s">
        <v>19</v>
      </c>
      <c r="F757" s="2" t="s">
        <v>28</v>
      </c>
      <c r="G757" s="2" t="s">
        <v>90</v>
      </c>
      <c r="H757" s="2" t="s">
        <v>91</v>
      </c>
      <c r="I757" s="2">
        <v>1</v>
      </c>
      <c r="J757" s="2">
        <v>893</v>
      </c>
      <c r="K757" s="2">
        <v>0</v>
      </c>
      <c r="L757" s="2">
        <v>0</v>
      </c>
      <c r="M757" s="2">
        <v>893</v>
      </c>
      <c r="N757" s="2" t="s">
        <v>44</v>
      </c>
      <c r="O757" s="2">
        <v>4</v>
      </c>
      <c r="P757" s="2" t="s">
        <v>92</v>
      </c>
    </row>
    <row r="758" spans="1:16" x14ac:dyDescent="0.25">
      <c r="A758" s="4">
        <v>45495</v>
      </c>
      <c r="B758" s="2" t="s">
        <v>1222</v>
      </c>
      <c r="C758" s="2" t="s">
        <v>801</v>
      </c>
      <c r="D758" t="s">
        <v>27</v>
      </c>
      <c r="E758" s="2" t="s">
        <v>19</v>
      </c>
      <c r="F758" s="2" t="s">
        <v>20</v>
      </c>
      <c r="G758" s="2" t="s">
        <v>139</v>
      </c>
      <c r="H758" s="2" t="s">
        <v>327</v>
      </c>
      <c r="I758" s="2">
        <v>1</v>
      </c>
      <c r="J758" s="2">
        <v>7788</v>
      </c>
      <c r="K758" s="2">
        <v>15</v>
      </c>
      <c r="L758" s="2">
        <v>1168.2</v>
      </c>
      <c r="M758" s="2">
        <v>6619.8</v>
      </c>
      <c r="N758" s="2" t="s">
        <v>50</v>
      </c>
      <c r="O758" s="2">
        <v>2</v>
      </c>
      <c r="P758" s="2" t="s">
        <v>24</v>
      </c>
    </row>
    <row r="759" spans="1:16" x14ac:dyDescent="0.25">
      <c r="A759" s="4">
        <v>45496</v>
      </c>
      <c r="B759" s="2" t="s">
        <v>1223</v>
      </c>
      <c r="C759" s="2" t="s">
        <v>678</v>
      </c>
      <c r="D759" t="s">
        <v>53</v>
      </c>
      <c r="E759" s="2" t="s">
        <v>53</v>
      </c>
      <c r="F759" s="2" t="s">
        <v>61</v>
      </c>
      <c r="G759" s="2" t="s">
        <v>62</v>
      </c>
      <c r="H759" s="2" t="s">
        <v>534</v>
      </c>
      <c r="I759" s="2">
        <v>1</v>
      </c>
      <c r="J759" s="2">
        <v>1332</v>
      </c>
      <c r="K759" s="2">
        <v>0</v>
      </c>
      <c r="L759" s="2">
        <v>0</v>
      </c>
      <c r="M759" s="2">
        <v>1332</v>
      </c>
      <c r="N759" s="2" t="s">
        <v>50</v>
      </c>
      <c r="O759" s="2">
        <v>1</v>
      </c>
      <c r="P759" s="2" t="s">
        <v>24</v>
      </c>
    </row>
    <row r="760" spans="1:16" x14ac:dyDescent="0.25">
      <c r="A760" s="4">
        <v>45497</v>
      </c>
      <c r="B760" s="2" t="s">
        <v>1224</v>
      </c>
      <c r="C760" s="2" t="s">
        <v>760</v>
      </c>
      <c r="D760" t="s">
        <v>18</v>
      </c>
      <c r="E760" s="2" t="s">
        <v>19</v>
      </c>
      <c r="F760" s="2" t="s">
        <v>61</v>
      </c>
      <c r="G760" s="2" t="s">
        <v>62</v>
      </c>
      <c r="H760" s="2" t="s">
        <v>63</v>
      </c>
      <c r="I760" s="2">
        <v>1</v>
      </c>
      <c r="J760" s="2">
        <v>693</v>
      </c>
      <c r="K760" s="2">
        <v>15</v>
      </c>
      <c r="L760" s="2">
        <v>103.95</v>
      </c>
      <c r="M760" s="2">
        <v>589.04999999999995</v>
      </c>
      <c r="N760" s="2" t="s">
        <v>23</v>
      </c>
      <c r="O760" s="2">
        <v>2</v>
      </c>
      <c r="P760" s="2" t="s">
        <v>24</v>
      </c>
    </row>
    <row r="761" spans="1:16" x14ac:dyDescent="0.25">
      <c r="A761" s="4">
        <v>45498</v>
      </c>
      <c r="B761" s="2" t="s">
        <v>1225</v>
      </c>
      <c r="C761" s="2" t="s">
        <v>268</v>
      </c>
      <c r="D761" t="s">
        <v>27</v>
      </c>
      <c r="E761" s="2" t="s">
        <v>19</v>
      </c>
      <c r="F761" s="2" t="s">
        <v>61</v>
      </c>
      <c r="G761" s="2" t="s">
        <v>250</v>
      </c>
      <c r="H761" s="2" t="s">
        <v>256</v>
      </c>
      <c r="I761" s="2">
        <v>1</v>
      </c>
      <c r="J761" s="2">
        <v>250</v>
      </c>
      <c r="K761" s="2">
        <v>5</v>
      </c>
      <c r="L761" s="2">
        <v>12.5</v>
      </c>
      <c r="M761" s="2">
        <v>237.5</v>
      </c>
      <c r="N761" s="2" t="s">
        <v>44</v>
      </c>
      <c r="O761" s="2">
        <v>4</v>
      </c>
      <c r="P761" s="2" t="s">
        <v>92</v>
      </c>
    </row>
    <row r="762" spans="1:16" x14ac:dyDescent="0.25">
      <c r="A762" s="4">
        <v>45499</v>
      </c>
      <c r="B762" s="2" t="s">
        <v>1226</v>
      </c>
      <c r="C762" s="2" t="s">
        <v>161</v>
      </c>
      <c r="D762" t="s">
        <v>27</v>
      </c>
      <c r="E762" s="2" t="s">
        <v>19</v>
      </c>
      <c r="F762" s="2" t="s">
        <v>71</v>
      </c>
      <c r="G762" s="2" t="s">
        <v>106</v>
      </c>
      <c r="H762" s="2" t="s">
        <v>423</v>
      </c>
      <c r="I762" s="2">
        <v>1</v>
      </c>
      <c r="J762" s="2">
        <v>285</v>
      </c>
      <c r="K762" s="2">
        <v>0</v>
      </c>
      <c r="L762" s="2">
        <v>0</v>
      </c>
      <c r="M762" s="2">
        <v>285</v>
      </c>
      <c r="N762" s="2" t="s">
        <v>23</v>
      </c>
      <c r="O762" s="2">
        <v>2</v>
      </c>
      <c r="P762" s="2" t="s">
        <v>24</v>
      </c>
    </row>
    <row r="763" spans="1:16" x14ac:dyDescent="0.25">
      <c r="A763" s="4">
        <v>45500</v>
      </c>
      <c r="B763" s="2" t="s">
        <v>1227</v>
      </c>
      <c r="C763" s="2" t="s">
        <v>843</v>
      </c>
      <c r="D763" t="s">
        <v>33</v>
      </c>
      <c r="E763" s="2" t="s">
        <v>34</v>
      </c>
      <c r="F763" s="2" t="s">
        <v>20</v>
      </c>
      <c r="G763" s="2" t="s">
        <v>21</v>
      </c>
      <c r="H763" s="2" t="s">
        <v>435</v>
      </c>
      <c r="I763" s="2">
        <v>1</v>
      </c>
      <c r="J763" s="2">
        <v>3518</v>
      </c>
      <c r="K763" s="2">
        <v>10</v>
      </c>
      <c r="L763" s="2">
        <v>351.8</v>
      </c>
      <c r="M763" s="2">
        <v>3166.2</v>
      </c>
      <c r="N763" s="2" t="s">
        <v>44</v>
      </c>
      <c r="O763" s="2">
        <v>3</v>
      </c>
      <c r="P763" s="2" t="s">
        <v>24</v>
      </c>
    </row>
    <row r="764" spans="1:16" x14ac:dyDescent="0.25">
      <c r="A764" s="4">
        <v>45501</v>
      </c>
      <c r="B764" s="2" t="s">
        <v>1228</v>
      </c>
      <c r="C764" s="2" t="s">
        <v>407</v>
      </c>
      <c r="D764" t="s">
        <v>84</v>
      </c>
      <c r="E764" s="2" t="s">
        <v>85</v>
      </c>
      <c r="F764" s="2" t="s">
        <v>71</v>
      </c>
      <c r="G764" s="2" t="s">
        <v>72</v>
      </c>
      <c r="H764" s="2" t="s">
        <v>420</v>
      </c>
      <c r="I764" s="2">
        <v>1</v>
      </c>
      <c r="J764" s="2">
        <v>1458</v>
      </c>
      <c r="K764" s="2">
        <v>0</v>
      </c>
      <c r="L764" s="2">
        <v>0</v>
      </c>
      <c r="M764" s="2">
        <v>1458</v>
      </c>
      <c r="N764" s="2" t="s">
        <v>23</v>
      </c>
      <c r="O764" s="2">
        <v>1</v>
      </c>
      <c r="P764" s="2" t="s">
        <v>24</v>
      </c>
    </row>
    <row r="765" spans="1:16" x14ac:dyDescent="0.25">
      <c r="A765" s="4">
        <v>45502</v>
      </c>
      <c r="B765" s="2" t="s">
        <v>1229</v>
      </c>
      <c r="C765" s="2" t="s">
        <v>1102</v>
      </c>
      <c r="D765" t="s">
        <v>66</v>
      </c>
      <c r="E765" s="2" t="s">
        <v>19</v>
      </c>
      <c r="F765" s="2" t="s">
        <v>28</v>
      </c>
      <c r="G765" s="2" t="s">
        <v>110</v>
      </c>
      <c r="H765" s="2" t="s">
        <v>253</v>
      </c>
      <c r="I765" s="2">
        <v>1</v>
      </c>
      <c r="J765" s="2">
        <v>1854</v>
      </c>
      <c r="K765" s="2">
        <v>0</v>
      </c>
      <c r="L765" s="2">
        <v>0</v>
      </c>
      <c r="M765" s="2">
        <v>1854</v>
      </c>
      <c r="N765" s="2" t="s">
        <v>44</v>
      </c>
      <c r="O765" s="2">
        <v>3</v>
      </c>
      <c r="P765" s="2" t="s">
        <v>24</v>
      </c>
    </row>
    <row r="766" spans="1:16" x14ac:dyDescent="0.25">
      <c r="A766" s="4">
        <v>45503</v>
      </c>
      <c r="B766" s="2" t="s">
        <v>1230</v>
      </c>
      <c r="C766" s="2" t="s">
        <v>397</v>
      </c>
      <c r="D766" t="s">
        <v>18</v>
      </c>
      <c r="E766" s="2" t="s">
        <v>19</v>
      </c>
      <c r="F766" s="2" t="s">
        <v>61</v>
      </c>
      <c r="G766" s="2" t="s">
        <v>62</v>
      </c>
      <c r="H766" s="2" t="s">
        <v>515</v>
      </c>
      <c r="I766" s="2">
        <v>1</v>
      </c>
      <c r="J766" s="2">
        <v>617</v>
      </c>
      <c r="K766" s="2">
        <v>5</v>
      </c>
      <c r="L766" s="2">
        <v>30.85</v>
      </c>
      <c r="M766" s="2">
        <v>586.15</v>
      </c>
      <c r="N766" s="2" t="s">
        <v>44</v>
      </c>
      <c r="O766" s="2">
        <v>4</v>
      </c>
      <c r="P766" s="2" t="s">
        <v>24</v>
      </c>
    </row>
    <row r="767" spans="1:16" x14ac:dyDescent="0.25">
      <c r="A767" s="4">
        <v>45504</v>
      </c>
      <c r="B767" s="2" t="s">
        <v>1231</v>
      </c>
      <c r="C767" s="2" t="s">
        <v>89</v>
      </c>
      <c r="D767" t="s">
        <v>66</v>
      </c>
      <c r="E767" s="2" t="s">
        <v>19</v>
      </c>
      <c r="F767" s="2" t="s">
        <v>20</v>
      </c>
      <c r="G767" s="2" t="s">
        <v>42</v>
      </c>
      <c r="H767" s="2" t="s">
        <v>278</v>
      </c>
      <c r="I767" s="2">
        <v>1</v>
      </c>
      <c r="J767" s="2">
        <v>4058</v>
      </c>
      <c r="K767" s="2">
        <v>5</v>
      </c>
      <c r="L767" s="2">
        <v>202.9</v>
      </c>
      <c r="M767" s="2">
        <v>3855.1</v>
      </c>
      <c r="N767" s="2" t="s">
        <v>23</v>
      </c>
      <c r="O767" s="2">
        <v>3</v>
      </c>
      <c r="P767" s="2" t="s">
        <v>24</v>
      </c>
    </row>
    <row r="768" spans="1:16" x14ac:dyDescent="0.25">
      <c r="A768" s="4">
        <v>45505</v>
      </c>
      <c r="B768" s="2" t="s">
        <v>1232</v>
      </c>
      <c r="C768" s="2" t="s">
        <v>381</v>
      </c>
      <c r="D768" t="s">
        <v>33</v>
      </c>
      <c r="E768" s="2" t="s">
        <v>34</v>
      </c>
      <c r="F768" s="2" t="s">
        <v>20</v>
      </c>
      <c r="G768" s="2" t="s">
        <v>42</v>
      </c>
      <c r="H768" s="2" t="s">
        <v>195</v>
      </c>
      <c r="I768" s="2">
        <v>1</v>
      </c>
      <c r="J768" s="2">
        <v>5701</v>
      </c>
      <c r="K768" s="2">
        <v>5</v>
      </c>
      <c r="L768" s="2">
        <v>285.05</v>
      </c>
      <c r="M768" s="2">
        <v>5415.95</v>
      </c>
      <c r="N768" s="2" t="s">
        <v>23</v>
      </c>
      <c r="O768" s="2">
        <v>3</v>
      </c>
      <c r="P768" s="2" t="s">
        <v>24</v>
      </c>
    </row>
    <row r="769" spans="1:16" x14ac:dyDescent="0.25">
      <c r="A769" s="4">
        <v>45506</v>
      </c>
      <c r="B769" s="2" t="s">
        <v>1233</v>
      </c>
      <c r="C769" s="2" t="s">
        <v>1234</v>
      </c>
      <c r="D769" t="s">
        <v>53</v>
      </c>
      <c r="E769" s="2" t="s">
        <v>53</v>
      </c>
      <c r="F769" s="2" t="s">
        <v>35</v>
      </c>
      <c r="G769" s="2" t="s">
        <v>80</v>
      </c>
      <c r="H769" s="2" t="s">
        <v>520</v>
      </c>
      <c r="I769" s="2">
        <v>1</v>
      </c>
      <c r="J769" s="2">
        <v>18451</v>
      </c>
      <c r="K769" s="2">
        <v>0</v>
      </c>
      <c r="L769" s="2">
        <v>0</v>
      </c>
      <c r="M769" s="2">
        <v>18451</v>
      </c>
      <c r="N769" s="2" t="s">
        <v>44</v>
      </c>
      <c r="O769" s="2">
        <v>3</v>
      </c>
      <c r="P769" s="2" t="s">
        <v>24</v>
      </c>
    </row>
    <row r="770" spans="1:16" x14ac:dyDescent="0.25">
      <c r="A770" s="4">
        <v>45507</v>
      </c>
      <c r="B770" s="2" t="s">
        <v>1235</v>
      </c>
      <c r="C770" s="2" t="s">
        <v>211</v>
      </c>
      <c r="D770" t="s">
        <v>84</v>
      </c>
      <c r="E770" s="2" t="s">
        <v>85</v>
      </c>
      <c r="F770" s="2" t="s">
        <v>20</v>
      </c>
      <c r="G770" s="2" t="s">
        <v>21</v>
      </c>
      <c r="H770" s="2" t="s">
        <v>136</v>
      </c>
      <c r="I770" s="2">
        <v>1</v>
      </c>
      <c r="J770" s="2">
        <v>3850</v>
      </c>
      <c r="K770" s="2">
        <v>5</v>
      </c>
      <c r="L770" s="2">
        <v>192.5</v>
      </c>
      <c r="M770" s="2">
        <v>3657.5</v>
      </c>
      <c r="N770" s="2" t="s">
        <v>44</v>
      </c>
      <c r="O770" s="2">
        <v>3</v>
      </c>
      <c r="P770" s="2" t="s">
        <v>24</v>
      </c>
    </row>
    <row r="771" spans="1:16" x14ac:dyDescent="0.25">
      <c r="A771" s="4">
        <v>45508</v>
      </c>
      <c r="B771" s="2" t="s">
        <v>1236</v>
      </c>
      <c r="C771" s="2" t="s">
        <v>58</v>
      </c>
      <c r="D771" t="s">
        <v>174</v>
      </c>
      <c r="E771" s="2" t="s">
        <v>60</v>
      </c>
      <c r="F771" s="2" t="s">
        <v>61</v>
      </c>
      <c r="G771" s="2" t="s">
        <v>62</v>
      </c>
      <c r="H771" s="2" t="s">
        <v>414</v>
      </c>
      <c r="I771" s="2">
        <v>3</v>
      </c>
      <c r="J771" s="2">
        <v>1147</v>
      </c>
      <c r="K771" s="2">
        <v>0</v>
      </c>
      <c r="L771" s="2">
        <v>0</v>
      </c>
      <c r="M771" s="2">
        <v>3441</v>
      </c>
      <c r="N771" s="2" t="s">
        <v>23</v>
      </c>
      <c r="O771" s="2">
        <v>2</v>
      </c>
      <c r="P771" s="2" t="s">
        <v>24</v>
      </c>
    </row>
    <row r="772" spans="1:16" x14ac:dyDescent="0.25">
      <c r="A772" s="4">
        <v>45509</v>
      </c>
      <c r="B772" s="2" t="s">
        <v>1237</v>
      </c>
      <c r="C772" s="2" t="s">
        <v>1238</v>
      </c>
      <c r="D772" t="s">
        <v>41</v>
      </c>
      <c r="E772" s="2" t="s">
        <v>19</v>
      </c>
      <c r="F772" s="2" t="s">
        <v>35</v>
      </c>
      <c r="G772" s="2" t="s">
        <v>67</v>
      </c>
      <c r="H772" s="2" t="s">
        <v>364</v>
      </c>
      <c r="I772" s="2">
        <v>1</v>
      </c>
      <c r="J772" s="2">
        <v>28701</v>
      </c>
      <c r="K772" s="2">
        <v>0</v>
      </c>
      <c r="L772" s="2">
        <v>0</v>
      </c>
      <c r="M772" s="2">
        <v>28701</v>
      </c>
      <c r="N772" s="2" t="s">
        <v>23</v>
      </c>
      <c r="O772" s="2">
        <v>4</v>
      </c>
      <c r="P772" s="2" t="s">
        <v>24</v>
      </c>
    </row>
    <row r="773" spans="1:16" x14ac:dyDescent="0.25">
      <c r="A773" s="4">
        <v>45510</v>
      </c>
      <c r="B773" s="2" t="s">
        <v>1239</v>
      </c>
      <c r="C773" s="2" t="s">
        <v>660</v>
      </c>
      <c r="D773" t="s">
        <v>174</v>
      </c>
      <c r="E773" s="2" t="s">
        <v>60</v>
      </c>
      <c r="F773" s="2" t="s">
        <v>35</v>
      </c>
      <c r="G773" s="2" t="s">
        <v>130</v>
      </c>
      <c r="H773" s="2" t="s">
        <v>198</v>
      </c>
      <c r="I773" s="2">
        <v>3</v>
      </c>
      <c r="J773" s="2">
        <v>13392</v>
      </c>
      <c r="K773" s="2">
        <v>0</v>
      </c>
      <c r="L773" s="2">
        <v>0</v>
      </c>
      <c r="M773" s="2">
        <v>40176</v>
      </c>
      <c r="N773" s="2" t="s">
        <v>50</v>
      </c>
      <c r="O773" s="2">
        <v>2</v>
      </c>
      <c r="P773" s="2" t="s">
        <v>24</v>
      </c>
    </row>
    <row r="774" spans="1:16" x14ac:dyDescent="0.25">
      <c r="A774" s="4">
        <v>45511</v>
      </c>
      <c r="B774" s="2" t="s">
        <v>1240</v>
      </c>
      <c r="C774" s="2" t="s">
        <v>468</v>
      </c>
      <c r="D774" t="s">
        <v>59</v>
      </c>
      <c r="E774" s="2" t="s">
        <v>60</v>
      </c>
      <c r="F774" s="2" t="s">
        <v>61</v>
      </c>
      <c r="G774" s="2" t="s">
        <v>262</v>
      </c>
      <c r="H774" s="2" t="s">
        <v>310</v>
      </c>
      <c r="I774" s="2">
        <v>3</v>
      </c>
      <c r="J774" s="2">
        <v>1304</v>
      </c>
      <c r="K774" s="2">
        <v>10</v>
      </c>
      <c r="L774" s="2">
        <v>391.2</v>
      </c>
      <c r="M774" s="2">
        <v>3520.8</v>
      </c>
      <c r="N774" s="2" t="s">
        <v>23</v>
      </c>
      <c r="O774" s="2">
        <v>3</v>
      </c>
      <c r="P774" s="2" t="s">
        <v>24</v>
      </c>
    </row>
    <row r="775" spans="1:16" x14ac:dyDescent="0.25">
      <c r="A775" s="4">
        <v>45512</v>
      </c>
      <c r="B775" s="2" t="s">
        <v>1241</v>
      </c>
      <c r="C775" s="2" t="s">
        <v>475</v>
      </c>
      <c r="D775" t="s">
        <v>84</v>
      </c>
      <c r="E775" s="2" t="s">
        <v>85</v>
      </c>
      <c r="F775" s="2" t="s">
        <v>28</v>
      </c>
      <c r="G775" s="2" t="s">
        <v>188</v>
      </c>
      <c r="H775" s="2" t="s">
        <v>192</v>
      </c>
      <c r="I775" s="2">
        <v>1</v>
      </c>
      <c r="J775" s="2">
        <v>1101</v>
      </c>
      <c r="K775" s="2">
        <v>5</v>
      </c>
      <c r="L775" s="2">
        <v>55.05</v>
      </c>
      <c r="M775" s="2">
        <v>1045.95</v>
      </c>
      <c r="N775" s="2" t="s">
        <v>23</v>
      </c>
      <c r="O775" s="2">
        <v>3</v>
      </c>
      <c r="P775" s="2" t="s">
        <v>24</v>
      </c>
    </row>
    <row r="776" spans="1:16" x14ac:dyDescent="0.25">
      <c r="A776" s="4">
        <v>45513</v>
      </c>
      <c r="B776" s="2" t="s">
        <v>1242</v>
      </c>
      <c r="C776" s="2" t="s">
        <v>726</v>
      </c>
      <c r="D776" t="s">
        <v>174</v>
      </c>
      <c r="E776" s="2" t="s">
        <v>60</v>
      </c>
      <c r="F776" s="2" t="s">
        <v>71</v>
      </c>
      <c r="G776" s="2" t="s">
        <v>106</v>
      </c>
      <c r="H776" s="2" t="s">
        <v>1120</v>
      </c>
      <c r="I776" s="2">
        <v>1</v>
      </c>
      <c r="J776" s="2">
        <v>1005</v>
      </c>
      <c r="K776" s="2">
        <v>5</v>
      </c>
      <c r="L776" s="2">
        <v>50.25</v>
      </c>
      <c r="M776" s="2">
        <v>954.75</v>
      </c>
      <c r="N776" s="2" t="s">
        <v>50</v>
      </c>
      <c r="O776" s="2">
        <v>1</v>
      </c>
      <c r="P776" s="2" t="s">
        <v>24</v>
      </c>
    </row>
    <row r="777" spans="1:16" x14ac:dyDescent="0.25">
      <c r="A777" s="4">
        <v>45514</v>
      </c>
      <c r="B777" s="2" t="s">
        <v>1243</v>
      </c>
      <c r="C777" s="2" t="s">
        <v>26</v>
      </c>
      <c r="D777" t="s">
        <v>59</v>
      </c>
      <c r="E777" s="2" t="s">
        <v>60</v>
      </c>
      <c r="F777" s="2" t="s">
        <v>35</v>
      </c>
      <c r="G777" s="2" t="s">
        <v>80</v>
      </c>
      <c r="H777" s="2" t="s">
        <v>81</v>
      </c>
      <c r="I777" s="2">
        <v>3</v>
      </c>
      <c r="J777" s="2">
        <v>16402</v>
      </c>
      <c r="K777" s="2">
        <v>5</v>
      </c>
      <c r="L777" s="2">
        <v>2460.3000000000002</v>
      </c>
      <c r="M777" s="2">
        <v>46745.7</v>
      </c>
      <c r="N777" s="2" t="s">
        <v>56</v>
      </c>
      <c r="O777" s="2">
        <v>2</v>
      </c>
      <c r="P777" s="2" t="s">
        <v>24</v>
      </c>
    </row>
    <row r="778" spans="1:16" x14ac:dyDescent="0.25">
      <c r="A778" s="4">
        <v>45515</v>
      </c>
      <c r="B778" s="2" t="s">
        <v>1244</v>
      </c>
      <c r="C778" s="2" t="s">
        <v>833</v>
      </c>
      <c r="D778" t="s">
        <v>59</v>
      </c>
      <c r="E778" s="2" t="s">
        <v>60</v>
      </c>
      <c r="F778" s="2" t="s">
        <v>35</v>
      </c>
      <c r="G778" s="2" t="s">
        <v>36</v>
      </c>
      <c r="H778" s="2" t="s">
        <v>341</v>
      </c>
      <c r="I778" s="2">
        <v>1</v>
      </c>
      <c r="J778" s="2">
        <v>4061</v>
      </c>
      <c r="K778" s="2">
        <v>0</v>
      </c>
      <c r="L778" s="2">
        <v>0</v>
      </c>
      <c r="M778" s="2">
        <v>4061</v>
      </c>
      <c r="N778" s="2" t="s">
        <v>56</v>
      </c>
      <c r="O778" s="2">
        <v>4</v>
      </c>
      <c r="P778" s="2" t="s">
        <v>24</v>
      </c>
    </row>
    <row r="779" spans="1:16" x14ac:dyDescent="0.25">
      <c r="A779" s="4">
        <v>45516</v>
      </c>
      <c r="B779" s="2" t="s">
        <v>1245</v>
      </c>
      <c r="C779" s="2" t="s">
        <v>297</v>
      </c>
      <c r="D779" t="s">
        <v>47</v>
      </c>
      <c r="E779" s="2" t="s">
        <v>48</v>
      </c>
      <c r="F779" s="2" t="s">
        <v>35</v>
      </c>
      <c r="G779" s="2" t="s">
        <v>67</v>
      </c>
      <c r="H779" s="2" t="s">
        <v>322</v>
      </c>
      <c r="I779" s="2">
        <v>1</v>
      </c>
      <c r="J779" s="2">
        <v>3974</v>
      </c>
      <c r="K779" s="2">
        <v>10</v>
      </c>
      <c r="L779" s="2">
        <v>397.4</v>
      </c>
      <c r="M779" s="2">
        <v>3576.6</v>
      </c>
      <c r="N779" s="2" t="s">
        <v>50</v>
      </c>
      <c r="O779" s="2">
        <v>2</v>
      </c>
      <c r="P779" s="2" t="s">
        <v>24</v>
      </c>
    </row>
    <row r="780" spans="1:16" x14ac:dyDescent="0.25">
      <c r="A780" s="4">
        <v>45517</v>
      </c>
      <c r="B780" s="2" t="s">
        <v>1246</v>
      </c>
      <c r="C780" s="2" t="s">
        <v>242</v>
      </c>
      <c r="D780" t="s">
        <v>84</v>
      </c>
      <c r="E780" s="2" t="s">
        <v>85</v>
      </c>
      <c r="F780" s="2" t="s">
        <v>20</v>
      </c>
      <c r="G780" s="2" t="s">
        <v>54</v>
      </c>
      <c r="H780" s="2" t="s">
        <v>269</v>
      </c>
      <c r="I780" s="2">
        <v>1</v>
      </c>
      <c r="J780" s="2">
        <v>850</v>
      </c>
      <c r="K780" s="2">
        <v>10</v>
      </c>
      <c r="L780" s="2">
        <v>85</v>
      </c>
      <c r="M780" s="2">
        <v>765</v>
      </c>
      <c r="N780" s="2" t="s">
        <v>23</v>
      </c>
      <c r="O780" s="2">
        <v>1</v>
      </c>
      <c r="P780" s="2" t="s">
        <v>24</v>
      </c>
    </row>
    <row r="781" spans="1:16" x14ac:dyDescent="0.25">
      <c r="A781" s="4">
        <v>45518</v>
      </c>
      <c r="B781" s="2" t="s">
        <v>1247</v>
      </c>
      <c r="C781" s="2" t="s">
        <v>847</v>
      </c>
      <c r="D781" t="s">
        <v>66</v>
      </c>
      <c r="E781" s="2" t="s">
        <v>19</v>
      </c>
      <c r="F781" s="2" t="s">
        <v>35</v>
      </c>
      <c r="G781" s="2" t="s">
        <v>124</v>
      </c>
      <c r="H781" s="2" t="s">
        <v>142</v>
      </c>
      <c r="I781" s="2">
        <v>1</v>
      </c>
      <c r="J781" s="2">
        <v>8483</v>
      </c>
      <c r="K781" s="2">
        <v>15</v>
      </c>
      <c r="L781" s="2">
        <v>1272.45</v>
      </c>
      <c r="M781" s="2">
        <v>7210.55</v>
      </c>
      <c r="N781" s="2" t="s">
        <v>44</v>
      </c>
      <c r="O781" s="2">
        <v>6</v>
      </c>
      <c r="P781" s="2" t="s">
        <v>24</v>
      </c>
    </row>
    <row r="782" spans="1:16" x14ac:dyDescent="0.25">
      <c r="A782" s="4">
        <v>45519</v>
      </c>
      <c r="B782" s="2" t="s">
        <v>1248</v>
      </c>
      <c r="C782" s="2" t="s">
        <v>865</v>
      </c>
      <c r="D782" t="s">
        <v>41</v>
      </c>
      <c r="E782" s="2" t="s">
        <v>19</v>
      </c>
      <c r="F782" s="2" t="s">
        <v>35</v>
      </c>
      <c r="G782" s="2" t="s">
        <v>36</v>
      </c>
      <c r="H782" s="2" t="s">
        <v>648</v>
      </c>
      <c r="I782" s="2">
        <v>1</v>
      </c>
      <c r="J782" s="2">
        <v>12611</v>
      </c>
      <c r="K782" s="2">
        <v>0</v>
      </c>
      <c r="L782" s="2">
        <v>0</v>
      </c>
      <c r="M782" s="2">
        <v>12611</v>
      </c>
      <c r="N782" s="2" t="s">
        <v>50</v>
      </c>
      <c r="O782" s="2">
        <v>3</v>
      </c>
      <c r="P782" s="2" t="s">
        <v>24</v>
      </c>
    </row>
    <row r="783" spans="1:16" x14ac:dyDescent="0.25">
      <c r="A783" s="4">
        <v>45520</v>
      </c>
      <c r="B783" s="2" t="s">
        <v>1249</v>
      </c>
      <c r="C783" s="2" t="s">
        <v>411</v>
      </c>
      <c r="D783" t="s">
        <v>66</v>
      </c>
      <c r="E783" s="2" t="s">
        <v>19</v>
      </c>
      <c r="F783" s="2" t="s">
        <v>20</v>
      </c>
      <c r="G783" s="2" t="s">
        <v>139</v>
      </c>
      <c r="H783" s="2" t="s">
        <v>140</v>
      </c>
      <c r="I783" s="2">
        <v>3</v>
      </c>
      <c r="J783" s="2">
        <v>5769</v>
      </c>
      <c r="K783" s="2">
        <v>5</v>
      </c>
      <c r="L783" s="2">
        <v>865.35</v>
      </c>
      <c r="M783" s="2">
        <v>16441.650000000001</v>
      </c>
      <c r="N783" s="2" t="s">
        <v>44</v>
      </c>
      <c r="O783" s="2">
        <v>6</v>
      </c>
      <c r="P783" s="2" t="s">
        <v>24</v>
      </c>
    </row>
    <row r="784" spans="1:16" x14ac:dyDescent="0.25">
      <c r="A784" s="4">
        <v>45521</v>
      </c>
      <c r="B784" s="2" t="s">
        <v>1250</v>
      </c>
      <c r="C784" s="2" t="s">
        <v>169</v>
      </c>
      <c r="D784" t="s">
        <v>84</v>
      </c>
      <c r="E784" s="2" t="s">
        <v>85</v>
      </c>
      <c r="F784" s="2" t="s">
        <v>61</v>
      </c>
      <c r="G784" s="2" t="s">
        <v>262</v>
      </c>
      <c r="H784" s="2" t="s">
        <v>263</v>
      </c>
      <c r="I784" s="2">
        <v>1</v>
      </c>
      <c r="J784" s="2">
        <v>1471</v>
      </c>
      <c r="K784" s="2">
        <v>15</v>
      </c>
      <c r="L784" s="2">
        <v>220.65</v>
      </c>
      <c r="M784" s="2">
        <v>1250.3499999999999</v>
      </c>
      <c r="N784" s="2" t="s">
        <v>56</v>
      </c>
      <c r="O784" s="2">
        <v>1</v>
      </c>
      <c r="P784" s="2" t="s">
        <v>24</v>
      </c>
    </row>
    <row r="785" spans="1:16" x14ac:dyDescent="0.25">
      <c r="A785" s="4">
        <v>45522</v>
      </c>
      <c r="B785" s="2" t="s">
        <v>1251</v>
      </c>
      <c r="C785" s="2" t="s">
        <v>434</v>
      </c>
      <c r="D785" t="s">
        <v>66</v>
      </c>
      <c r="E785" s="2" t="s">
        <v>19</v>
      </c>
      <c r="F785" s="2" t="s">
        <v>61</v>
      </c>
      <c r="G785" s="2" t="s">
        <v>200</v>
      </c>
      <c r="H785" s="2" t="s">
        <v>587</v>
      </c>
      <c r="I785" s="2">
        <v>3</v>
      </c>
      <c r="J785" s="2">
        <v>1913</v>
      </c>
      <c r="K785" s="2">
        <v>0</v>
      </c>
      <c r="L785" s="2">
        <v>0</v>
      </c>
      <c r="M785" s="2">
        <v>5739</v>
      </c>
      <c r="N785" s="2" t="s">
        <v>44</v>
      </c>
      <c r="O785" s="2">
        <v>6</v>
      </c>
      <c r="P785" s="2" t="s">
        <v>24</v>
      </c>
    </row>
    <row r="786" spans="1:16" x14ac:dyDescent="0.25">
      <c r="A786" s="4">
        <v>45523</v>
      </c>
      <c r="B786" s="2" t="s">
        <v>1252</v>
      </c>
      <c r="C786" s="2" t="s">
        <v>240</v>
      </c>
      <c r="D786" t="s">
        <v>47</v>
      </c>
      <c r="E786" s="2" t="s">
        <v>48</v>
      </c>
      <c r="F786" s="2" t="s">
        <v>71</v>
      </c>
      <c r="G786" s="2" t="s">
        <v>72</v>
      </c>
      <c r="H786" s="2" t="s">
        <v>159</v>
      </c>
      <c r="I786" s="2">
        <v>2</v>
      </c>
      <c r="J786" s="2">
        <v>1398</v>
      </c>
      <c r="K786" s="2">
        <v>5</v>
      </c>
      <c r="L786" s="2">
        <v>139.80000000000001</v>
      </c>
      <c r="M786" s="2">
        <v>2656.2</v>
      </c>
      <c r="N786" s="2" t="s">
        <v>50</v>
      </c>
      <c r="O786" s="2">
        <v>4</v>
      </c>
      <c r="P786" s="2" t="s">
        <v>24</v>
      </c>
    </row>
    <row r="787" spans="1:16" x14ac:dyDescent="0.25">
      <c r="A787" s="4">
        <v>45524</v>
      </c>
      <c r="B787" s="2" t="s">
        <v>1253</v>
      </c>
      <c r="C787" s="2" t="s">
        <v>381</v>
      </c>
      <c r="D787" t="s">
        <v>59</v>
      </c>
      <c r="E787" s="2" t="s">
        <v>60</v>
      </c>
      <c r="F787" s="2" t="s">
        <v>61</v>
      </c>
      <c r="G787" s="2" t="s">
        <v>250</v>
      </c>
      <c r="H787" s="2" t="s">
        <v>251</v>
      </c>
      <c r="I787" s="2">
        <v>1</v>
      </c>
      <c r="J787" s="2">
        <v>415</v>
      </c>
      <c r="K787" s="2">
        <v>5</v>
      </c>
      <c r="L787" s="2">
        <v>20.75</v>
      </c>
      <c r="M787" s="2">
        <v>394.25</v>
      </c>
      <c r="N787" s="2" t="s">
        <v>38</v>
      </c>
      <c r="O787" s="2">
        <v>2</v>
      </c>
      <c r="P787" s="2" t="s">
        <v>24</v>
      </c>
    </row>
    <row r="788" spans="1:16" x14ac:dyDescent="0.25">
      <c r="A788" s="4">
        <v>45525</v>
      </c>
      <c r="B788" s="2" t="s">
        <v>1254</v>
      </c>
      <c r="C788" s="2" t="s">
        <v>1255</v>
      </c>
      <c r="D788" t="s">
        <v>33</v>
      </c>
      <c r="E788" s="2" t="s">
        <v>34</v>
      </c>
      <c r="F788" s="2" t="s">
        <v>35</v>
      </c>
      <c r="G788" s="2" t="s">
        <v>67</v>
      </c>
      <c r="H788" s="2" t="s">
        <v>368</v>
      </c>
      <c r="I788" s="2">
        <v>1</v>
      </c>
      <c r="J788" s="2">
        <v>7461</v>
      </c>
      <c r="K788" s="2">
        <v>5</v>
      </c>
      <c r="L788" s="2">
        <v>373.05</v>
      </c>
      <c r="M788" s="2">
        <v>7087.95</v>
      </c>
      <c r="N788" s="2" t="s">
        <v>23</v>
      </c>
      <c r="O788" s="2">
        <v>3</v>
      </c>
      <c r="P788" s="2" t="s">
        <v>24</v>
      </c>
    </row>
    <row r="789" spans="1:16" x14ac:dyDescent="0.25">
      <c r="A789" s="4">
        <v>45526</v>
      </c>
      <c r="B789" s="2" t="s">
        <v>1256</v>
      </c>
      <c r="C789" s="2" t="s">
        <v>847</v>
      </c>
      <c r="D789" t="s">
        <v>174</v>
      </c>
      <c r="E789" s="2" t="s">
        <v>60</v>
      </c>
      <c r="F789" s="2" t="s">
        <v>61</v>
      </c>
      <c r="G789" s="2" t="s">
        <v>150</v>
      </c>
      <c r="H789" s="2" t="s">
        <v>209</v>
      </c>
      <c r="I789" s="2">
        <v>1</v>
      </c>
      <c r="J789" s="2">
        <v>1884</v>
      </c>
      <c r="K789" s="2">
        <v>5</v>
      </c>
      <c r="L789" s="2">
        <v>94.2</v>
      </c>
      <c r="M789" s="2">
        <v>1789.8</v>
      </c>
      <c r="N789" s="2" t="s">
        <v>50</v>
      </c>
      <c r="O789" s="2">
        <v>3</v>
      </c>
      <c r="P789" s="2" t="s">
        <v>24</v>
      </c>
    </row>
    <row r="790" spans="1:16" x14ac:dyDescent="0.25">
      <c r="A790" s="4">
        <v>45527</v>
      </c>
      <c r="B790" s="2" t="s">
        <v>1257</v>
      </c>
      <c r="C790" s="2" t="s">
        <v>437</v>
      </c>
      <c r="D790" t="s">
        <v>47</v>
      </c>
      <c r="E790" s="2" t="s">
        <v>48</v>
      </c>
      <c r="F790" s="2" t="s">
        <v>35</v>
      </c>
      <c r="G790" s="2" t="s">
        <v>36</v>
      </c>
      <c r="H790" s="2" t="s">
        <v>164</v>
      </c>
      <c r="I790" s="2">
        <v>1</v>
      </c>
      <c r="J790" s="2">
        <v>38103</v>
      </c>
      <c r="K790" s="2">
        <v>5</v>
      </c>
      <c r="L790" s="2">
        <v>1905.15</v>
      </c>
      <c r="M790" s="2">
        <v>36197.85</v>
      </c>
      <c r="N790" s="2" t="s">
        <v>56</v>
      </c>
      <c r="O790" s="2">
        <v>2</v>
      </c>
      <c r="P790" s="2" t="s">
        <v>24</v>
      </c>
    </row>
    <row r="791" spans="1:16" x14ac:dyDescent="0.25">
      <c r="A791" s="4">
        <v>45528</v>
      </c>
      <c r="B791" s="2" t="s">
        <v>1258</v>
      </c>
      <c r="C791" s="2" t="s">
        <v>363</v>
      </c>
      <c r="D791" t="s">
        <v>27</v>
      </c>
      <c r="E791" s="2" t="s">
        <v>19</v>
      </c>
      <c r="F791" s="2" t="s">
        <v>28</v>
      </c>
      <c r="G791" s="2" t="s">
        <v>110</v>
      </c>
      <c r="H791" s="2" t="s">
        <v>111</v>
      </c>
      <c r="I791" s="2">
        <v>1</v>
      </c>
      <c r="J791" s="2">
        <v>2067</v>
      </c>
      <c r="K791" s="2">
        <v>15</v>
      </c>
      <c r="L791" s="2">
        <v>310.05</v>
      </c>
      <c r="M791" s="2">
        <v>1756.95</v>
      </c>
      <c r="N791" s="2" t="s">
        <v>50</v>
      </c>
      <c r="O791" s="2">
        <v>2</v>
      </c>
      <c r="P791" s="2" t="s">
        <v>24</v>
      </c>
    </row>
    <row r="792" spans="1:16" x14ac:dyDescent="0.25">
      <c r="A792" s="4">
        <v>45529</v>
      </c>
      <c r="B792" s="2" t="s">
        <v>1259</v>
      </c>
      <c r="C792" s="2" t="s">
        <v>528</v>
      </c>
      <c r="D792" t="s">
        <v>47</v>
      </c>
      <c r="E792" s="2" t="s">
        <v>48</v>
      </c>
      <c r="F792" s="2" t="s">
        <v>28</v>
      </c>
      <c r="G792" s="2" t="s">
        <v>29</v>
      </c>
      <c r="H792" s="2" t="s">
        <v>30</v>
      </c>
      <c r="I792" s="2">
        <v>1</v>
      </c>
      <c r="J792" s="2">
        <v>4280</v>
      </c>
      <c r="K792" s="2">
        <v>10</v>
      </c>
      <c r="L792" s="2">
        <v>428</v>
      </c>
      <c r="M792" s="2">
        <v>3852</v>
      </c>
      <c r="N792" s="2" t="s">
        <v>56</v>
      </c>
      <c r="O792" s="2">
        <v>1</v>
      </c>
      <c r="P792" s="2" t="s">
        <v>24</v>
      </c>
    </row>
    <row r="793" spans="1:16" x14ac:dyDescent="0.25">
      <c r="A793" s="4">
        <v>45530</v>
      </c>
      <c r="B793" s="2" t="s">
        <v>1260</v>
      </c>
      <c r="C793" s="2" t="s">
        <v>865</v>
      </c>
      <c r="D793" t="s">
        <v>59</v>
      </c>
      <c r="E793" s="2" t="s">
        <v>60</v>
      </c>
      <c r="F793" s="2" t="s">
        <v>61</v>
      </c>
      <c r="G793" s="2" t="s">
        <v>262</v>
      </c>
      <c r="H793" s="2" t="s">
        <v>263</v>
      </c>
      <c r="I793" s="2">
        <v>1</v>
      </c>
      <c r="J793" s="2">
        <v>391</v>
      </c>
      <c r="K793" s="2">
        <v>0</v>
      </c>
      <c r="L793" s="2">
        <v>0</v>
      </c>
      <c r="M793" s="2">
        <v>391</v>
      </c>
      <c r="N793" s="2" t="s">
        <v>56</v>
      </c>
      <c r="O793" s="2">
        <v>2</v>
      </c>
      <c r="P793" s="2" t="s">
        <v>24</v>
      </c>
    </row>
    <row r="794" spans="1:16" x14ac:dyDescent="0.25">
      <c r="A794" s="4">
        <v>45531</v>
      </c>
      <c r="B794" s="2" t="s">
        <v>1261</v>
      </c>
      <c r="C794" s="2" t="s">
        <v>1016</v>
      </c>
      <c r="D794" t="s">
        <v>84</v>
      </c>
      <c r="E794" s="2" t="s">
        <v>85</v>
      </c>
      <c r="F794" s="2" t="s">
        <v>61</v>
      </c>
      <c r="G794" s="2" t="s">
        <v>200</v>
      </c>
      <c r="H794" s="2" t="s">
        <v>587</v>
      </c>
      <c r="I794" s="2">
        <v>2</v>
      </c>
      <c r="J794" s="2">
        <v>1244</v>
      </c>
      <c r="K794" s="2">
        <v>0</v>
      </c>
      <c r="L794" s="2">
        <v>0</v>
      </c>
      <c r="M794" s="2">
        <v>2488</v>
      </c>
      <c r="N794" s="2" t="s">
        <v>50</v>
      </c>
      <c r="O794" s="2">
        <v>3</v>
      </c>
      <c r="P794" s="2" t="s">
        <v>24</v>
      </c>
    </row>
    <row r="795" spans="1:16" x14ac:dyDescent="0.25">
      <c r="A795" s="4">
        <v>45532</v>
      </c>
      <c r="B795" s="2" t="s">
        <v>1262</v>
      </c>
      <c r="C795" s="2" t="s">
        <v>481</v>
      </c>
      <c r="D795" t="s">
        <v>41</v>
      </c>
      <c r="E795" s="2" t="s">
        <v>19</v>
      </c>
      <c r="F795" s="2" t="s">
        <v>35</v>
      </c>
      <c r="G795" s="2" t="s">
        <v>124</v>
      </c>
      <c r="H795" s="2" t="s">
        <v>399</v>
      </c>
      <c r="I795" s="2">
        <v>1</v>
      </c>
      <c r="J795" s="2">
        <v>17739</v>
      </c>
      <c r="K795" s="2">
        <v>0</v>
      </c>
      <c r="L795" s="2">
        <v>0</v>
      </c>
      <c r="M795" s="2">
        <v>17739</v>
      </c>
      <c r="N795" s="2" t="s">
        <v>23</v>
      </c>
      <c r="O795" s="2">
        <v>3</v>
      </c>
      <c r="P795" s="2" t="s">
        <v>24</v>
      </c>
    </row>
    <row r="796" spans="1:16" x14ac:dyDescent="0.25">
      <c r="A796" s="4">
        <v>45533</v>
      </c>
      <c r="B796" s="2" t="s">
        <v>1263</v>
      </c>
      <c r="C796" s="2" t="s">
        <v>445</v>
      </c>
      <c r="D796" t="s">
        <v>27</v>
      </c>
      <c r="E796" s="2" t="s">
        <v>19</v>
      </c>
      <c r="F796" s="2" t="s">
        <v>20</v>
      </c>
      <c r="G796" s="2" t="s">
        <v>54</v>
      </c>
      <c r="H796" s="2" t="s">
        <v>55</v>
      </c>
      <c r="I796" s="2">
        <v>1</v>
      </c>
      <c r="J796" s="2">
        <v>3133</v>
      </c>
      <c r="K796" s="2">
        <v>5</v>
      </c>
      <c r="L796" s="2">
        <v>156.65</v>
      </c>
      <c r="M796" s="2">
        <v>2976.35</v>
      </c>
      <c r="N796" s="2" t="s">
        <v>56</v>
      </c>
      <c r="O796" s="2">
        <v>1</v>
      </c>
      <c r="P796" s="2" t="s">
        <v>24</v>
      </c>
    </row>
    <row r="797" spans="1:16" x14ac:dyDescent="0.25">
      <c r="A797" s="4">
        <v>45534</v>
      </c>
      <c r="B797" s="2" t="s">
        <v>1264</v>
      </c>
      <c r="C797" s="2" t="s">
        <v>582</v>
      </c>
      <c r="D797" t="s">
        <v>174</v>
      </c>
      <c r="E797" s="2" t="s">
        <v>60</v>
      </c>
      <c r="F797" s="2" t="s">
        <v>20</v>
      </c>
      <c r="G797" s="2" t="s">
        <v>54</v>
      </c>
      <c r="H797" s="2" t="s">
        <v>118</v>
      </c>
      <c r="I797" s="2">
        <v>1</v>
      </c>
      <c r="J797" s="2">
        <v>5627</v>
      </c>
      <c r="K797" s="2">
        <v>5</v>
      </c>
      <c r="L797" s="2">
        <v>281.35000000000002</v>
      </c>
      <c r="M797" s="2">
        <v>5345.65</v>
      </c>
      <c r="N797" s="2" t="s">
        <v>44</v>
      </c>
      <c r="O797" s="2">
        <v>5</v>
      </c>
      <c r="P797" s="2" t="s">
        <v>24</v>
      </c>
    </row>
    <row r="798" spans="1:16" x14ac:dyDescent="0.25">
      <c r="A798" s="4">
        <v>45535</v>
      </c>
      <c r="B798" s="2" t="s">
        <v>1265</v>
      </c>
      <c r="C798" s="2" t="s">
        <v>26</v>
      </c>
      <c r="D798" t="s">
        <v>53</v>
      </c>
      <c r="E798" s="2" t="s">
        <v>53</v>
      </c>
      <c r="F798" s="2" t="s">
        <v>71</v>
      </c>
      <c r="G798" s="2" t="s">
        <v>86</v>
      </c>
      <c r="H798" s="2" t="s">
        <v>87</v>
      </c>
      <c r="I798" s="2">
        <v>1</v>
      </c>
      <c r="J798" s="2">
        <v>842</v>
      </c>
      <c r="K798" s="2">
        <v>10</v>
      </c>
      <c r="L798" s="2">
        <v>84.2</v>
      </c>
      <c r="M798" s="2">
        <v>757.8</v>
      </c>
      <c r="N798" s="2" t="s">
        <v>56</v>
      </c>
      <c r="O798" s="2">
        <v>2</v>
      </c>
      <c r="P798" s="2" t="s">
        <v>24</v>
      </c>
    </row>
    <row r="799" spans="1:16" x14ac:dyDescent="0.25">
      <c r="A799" s="4">
        <v>45536</v>
      </c>
      <c r="B799" s="2" t="s">
        <v>1266</v>
      </c>
      <c r="C799" s="2" t="s">
        <v>391</v>
      </c>
      <c r="D799" t="s">
        <v>174</v>
      </c>
      <c r="E799" s="2" t="s">
        <v>60</v>
      </c>
      <c r="F799" s="2" t="s">
        <v>35</v>
      </c>
      <c r="G799" s="2" t="s">
        <v>36</v>
      </c>
      <c r="H799" s="2" t="s">
        <v>37</v>
      </c>
      <c r="I799" s="2">
        <v>2</v>
      </c>
      <c r="J799" s="2">
        <v>24598</v>
      </c>
      <c r="K799" s="2">
        <v>15</v>
      </c>
      <c r="L799" s="2">
        <v>7379.4</v>
      </c>
      <c r="M799" s="2">
        <v>41816.6</v>
      </c>
      <c r="N799" s="2" t="s">
        <v>23</v>
      </c>
      <c r="O799" s="2">
        <v>1</v>
      </c>
      <c r="P799" s="2" t="s">
        <v>24</v>
      </c>
    </row>
    <row r="800" spans="1:16" x14ac:dyDescent="0.25">
      <c r="A800" s="4">
        <v>45537</v>
      </c>
      <c r="B800" s="2" t="s">
        <v>1267</v>
      </c>
      <c r="C800" s="2" t="s">
        <v>1268</v>
      </c>
      <c r="D800" t="s">
        <v>59</v>
      </c>
      <c r="E800" s="2" t="s">
        <v>60</v>
      </c>
      <c r="F800" s="2" t="s">
        <v>71</v>
      </c>
      <c r="G800" s="2" t="s">
        <v>86</v>
      </c>
      <c r="H800" s="2" t="s">
        <v>392</v>
      </c>
      <c r="I800" s="2">
        <v>3</v>
      </c>
      <c r="J800" s="2">
        <v>206</v>
      </c>
      <c r="K800" s="2">
        <v>0</v>
      </c>
      <c r="L800" s="2">
        <v>0</v>
      </c>
      <c r="M800" s="2">
        <v>618</v>
      </c>
      <c r="N800" s="2" t="s">
        <v>50</v>
      </c>
      <c r="O800" s="2">
        <v>2</v>
      </c>
      <c r="P800" s="2" t="s">
        <v>24</v>
      </c>
    </row>
    <row r="801" spans="1:16" x14ac:dyDescent="0.25">
      <c r="A801" s="4">
        <v>45538</v>
      </c>
      <c r="B801" s="2" t="s">
        <v>1269</v>
      </c>
      <c r="C801" s="2" t="s">
        <v>508</v>
      </c>
      <c r="D801" t="s">
        <v>41</v>
      </c>
      <c r="E801" s="2" t="s">
        <v>19</v>
      </c>
      <c r="F801" s="2" t="s">
        <v>28</v>
      </c>
      <c r="G801" s="2" t="s">
        <v>289</v>
      </c>
      <c r="H801" s="2" t="s">
        <v>439</v>
      </c>
      <c r="I801" s="2">
        <v>1</v>
      </c>
      <c r="J801" s="2">
        <v>1402</v>
      </c>
      <c r="K801" s="2">
        <v>0</v>
      </c>
      <c r="L801" s="2">
        <v>0</v>
      </c>
      <c r="M801" s="2">
        <v>1402</v>
      </c>
      <c r="N801" s="2" t="s">
        <v>50</v>
      </c>
      <c r="O801" s="2">
        <v>2</v>
      </c>
      <c r="P801" s="2" t="s">
        <v>24</v>
      </c>
    </row>
    <row r="802" spans="1:16" x14ac:dyDescent="0.25">
      <c r="A802" s="4">
        <v>45539</v>
      </c>
      <c r="B802" s="2" t="s">
        <v>1270</v>
      </c>
      <c r="C802" s="2" t="s">
        <v>1271</v>
      </c>
      <c r="D802" t="s">
        <v>66</v>
      </c>
      <c r="E802" s="2" t="s">
        <v>19</v>
      </c>
      <c r="F802" s="2" t="s">
        <v>20</v>
      </c>
      <c r="G802" s="2" t="s">
        <v>139</v>
      </c>
      <c r="H802" s="2" t="s">
        <v>646</v>
      </c>
      <c r="I802" s="2">
        <v>1</v>
      </c>
      <c r="J802" s="2">
        <v>7615</v>
      </c>
      <c r="K802" s="2">
        <v>10</v>
      </c>
      <c r="L802" s="2">
        <v>761.5</v>
      </c>
      <c r="M802" s="2">
        <v>6853.5</v>
      </c>
      <c r="N802" s="2" t="s">
        <v>50</v>
      </c>
      <c r="O802" s="2">
        <v>1</v>
      </c>
      <c r="P802" s="2" t="s">
        <v>24</v>
      </c>
    </row>
    <row r="803" spans="1:16" x14ac:dyDescent="0.25">
      <c r="A803" s="4">
        <v>45540</v>
      </c>
      <c r="B803" s="2" t="s">
        <v>1272</v>
      </c>
      <c r="C803" s="2" t="s">
        <v>594</v>
      </c>
      <c r="D803" t="s">
        <v>84</v>
      </c>
      <c r="E803" s="2" t="s">
        <v>85</v>
      </c>
      <c r="F803" s="2" t="s">
        <v>35</v>
      </c>
      <c r="G803" s="2" t="s">
        <v>80</v>
      </c>
      <c r="H803" s="2" t="s">
        <v>214</v>
      </c>
      <c r="I803" s="2">
        <v>2</v>
      </c>
      <c r="J803" s="2">
        <v>34643</v>
      </c>
      <c r="K803" s="2">
        <v>0</v>
      </c>
      <c r="L803" s="2">
        <v>0</v>
      </c>
      <c r="M803" s="2">
        <v>69286</v>
      </c>
      <c r="N803" s="2" t="s">
        <v>50</v>
      </c>
      <c r="O803" s="2">
        <v>4</v>
      </c>
      <c r="P803" s="2" t="s">
        <v>24</v>
      </c>
    </row>
    <row r="804" spans="1:16" x14ac:dyDescent="0.25">
      <c r="A804" s="4">
        <v>45541</v>
      </c>
      <c r="B804" s="2" t="s">
        <v>1273</v>
      </c>
      <c r="C804" s="2" t="s">
        <v>228</v>
      </c>
      <c r="D804" t="s">
        <v>53</v>
      </c>
      <c r="E804" s="2" t="s">
        <v>53</v>
      </c>
      <c r="F804" s="2" t="s">
        <v>61</v>
      </c>
      <c r="G804" s="2" t="s">
        <v>150</v>
      </c>
      <c r="H804" s="2" t="s">
        <v>209</v>
      </c>
      <c r="I804" s="2">
        <v>1</v>
      </c>
      <c r="J804" s="2">
        <v>1354</v>
      </c>
      <c r="K804" s="2">
        <v>5</v>
      </c>
      <c r="L804" s="2">
        <v>67.7</v>
      </c>
      <c r="M804" s="2">
        <v>1286.3</v>
      </c>
      <c r="N804" s="2" t="s">
        <v>38</v>
      </c>
      <c r="O804" s="2">
        <v>1</v>
      </c>
      <c r="P804" s="2" t="s">
        <v>24</v>
      </c>
    </row>
    <row r="805" spans="1:16" x14ac:dyDescent="0.25">
      <c r="A805" s="4">
        <v>45542</v>
      </c>
      <c r="B805" s="2" t="s">
        <v>1274</v>
      </c>
      <c r="C805" s="2" t="s">
        <v>826</v>
      </c>
      <c r="D805" t="s">
        <v>66</v>
      </c>
      <c r="E805" s="2" t="s">
        <v>19</v>
      </c>
      <c r="F805" s="2" t="s">
        <v>35</v>
      </c>
      <c r="G805" s="2" t="s">
        <v>36</v>
      </c>
      <c r="H805" s="2" t="s">
        <v>164</v>
      </c>
      <c r="I805" s="2">
        <v>1</v>
      </c>
      <c r="J805" s="2">
        <v>15209</v>
      </c>
      <c r="K805" s="2">
        <v>5</v>
      </c>
      <c r="L805" s="2">
        <v>760.45</v>
      </c>
      <c r="M805" s="2">
        <v>14448.55</v>
      </c>
      <c r="N805" s="2" t="s">
        <v>23</v>
      </c>
      <c r="O805" s="2">
        <v>2</v>
      </c>
      <c r="P805" s="2" t="s">
        <v>24</v>
      </c>
    </row>
    <row r="806" spans="1:16" x14ac:dyDescent="0.25">
      <c r="A806" s="4">
        <v>45543</v>
      </c>
      <c r="B806" s="2" t="s">
        <v>1275</v>
      </c>
      <c r="C806" s="2" t="s">
        <v>405</v>
      </c>
      <c r="D806" t="s">
        <v>18</v>
      </c>
      <c r="E806" s="2" t="s">
        <v>19</v>
      </c>
      <c r="F806" s="2" t="s">
        <v>71</v>
      </c>
      <c r="G806" s="2" t="s">
        <v>72</v>
      </c>
      <c r="H806" s="2" t="s">
        <v>73</v>
      </c>
      <c r="I806" s="2">
        <v>2</v>
      </c>
      <c r="J806" s="2">
        <v>748</v>
      </c>
      <c r="K806" s="2">
        <v>10</v>
      </c>
      <c r="L806" s="2">
        <v>149.6</v>
      </c>
      <c r="M806" s="2">
        <v>1346.4</v>
      </c>
      <c r="N806" s="2" t="s">
        <v>56</v>
      </c>
      <c r="O806" s="2">
        <v>4</v>
      </c>
      <c r="P806" s="2" t="s">
        <v>24</v>
      </c>
    </row>
    <row r="807" spans="1:16" x14ac:dyDescent="0.25">
      <c r="A807" s="4">
        <v>45544</v>
      </c>
      <c r="B807" s="2" t="s">
        <v>1276</v>
      </c>
      <c r="C807" s="2" t="s">
        <v>487</v>
      </c>
      <c r="D807" t="s">
        <v>27</v>
      </c>
      <c r="E807" s="2" t="s">
        <v>19</v>
      </c>
      <c r="F807" s="2" t="s">
        <v>61</v>
      </c>
      <c r="G807" s="2" t="s">
        <v>200</v>
      </c>
      <c r="H807" s="2" t="s">
        <v>473</v>
      </c>
      <c r="I807" s="2">
        <v>1</v>
      </c>
      <c r="J807" s="2">
        <v>482</v>
      </c>
      <c r="K807" s="2">
        <v>5</v>
      </c>
      <c r="L807" s="2">
        <v>24.1</v>
      </c>
      <c r="M807" s="2">
        <v>457.9</v>
      </c>
      <c r="N807" s="2" t="s">
        <v>38</v>
      </c>
      <c r="O807" s="2">
        <v>2</v>
      </c>
      <c r="P807" s="2" t="s">
        <v>24</v>
      </c>
    </row>
    <row r="808" spans="1:16" x14ac:dyDescent="0.25">
      <c r="A808" s="4">
        <v>45545</v>
      </c>
      <c r="B808" s="2" t="s">
        <v>1277</v>
      </c>
      <c r="C808" s="2" t="s">
        <v>194</v>
      </c>
      <c r="D808" t="s">
        <v>84</v>
      </c>
      <c r="E808" s="2" t="s">
        <v>85</v>
      </c>
      <c r="F808" s="2" t="s">
        <v>35</v>
      </c>
      <c r="G808" s="2" t="s">
        <v>80</v>
      </c>
      <c r="H808" s="2" t="s">
        <v>81</v>
      </c>
      <c r="I808" s="2">
        <v>1</v>
      </c>
      <c r="J808" s="2">
        <v>37926</v>
      </c>
      <c r="K808" s="2">
        <v>5</v>
      </c>
      <c r="L808" s="2">
        <v>1896.3</v>
      </c>
      <c r="M808" s="2">
        <v>36029.699999999997</v>
      </c>
      <c r="N808" s="2" t="s">
        <v>56</v>
      </c>
      <c r="O808" s="2">
        <v>3</v>
      </c>
      <c r="P808" s="2" t="s">
        <v>24</v>
      </c>
    </row>
    <row r="809" spans="1:16" x14ac:dyDescent="0.25">
      <c r="A809" s="4">
        <v>45546</v>
      </c>
      <c r="B809" s="2" t="s">
        <v>1278</v>
      </c>
      <c r="C809" s="2" t="s">
        <v>662</v>
      </c>
      <c r="D809" t="s">
        <v>33</v>
      </c>
      <c r="E809" s="2" t="s">
        <v>34</v>
      </c>
      <c r="F809" s="2" t="s">
        <v>20</v>
      </c>
      <c r="G809" s="2" t="s">
        <v>42</v>
      </c>
      <c r="H809" s="2" t="s">
        <v>278</v>
      </c>
      <c r="I809" s="2">
        <v>2</v>
      </c>
      <c r="J809" s="2">
        <v>4090</v>
      </c>
      <c r="K809" s="2">
        <v>0</v>
      </c>
      <c r="L809" s="2">
        <v>0</v>
      </c>
      <c r="M809" s="2">
        <v>8180</v>
      </c>
      <c r="N809" s="2" t="s">
        <v>23</v>
      </c>
      <c r="O809" s="2">
        <v>2</v>
      </c>
      <c r="P809" s="2" t="s">
        <v>24</v>
      </c>
    </row>
    <row r="810" spans="1:16" x14ac:dyDescent="0.25">
      <c r="A810" s="4">
        <v>45547</v>
      </c>
      <c r="B810" s="2" t="s">
        <v>1279</v>
      </c>
      <c r="C810" s="2" t="s">
        <v>780</v>
      </c>
      <c r="D810" t="s">
        <v>53</v>
      </c>
      <c r="E810" s="2" t="s">
        <v>53</v>
      </c>
      <c r="F810" s="2" t="s">
        <v>61</v>
      </c>
      <c r="G810" s="2" t="s">
        <v>262</v>
      </c>
      <c r="H810" s="2" t="s">
        <v>263</v>
      </c>
      <c r="I810" s="2">
        <v>3</v>
      </c>
      <c r="J810" s="2">
        <v>281</v>
      </c>
      <c r="K810" s="2">
        <v>0</v>
      </c>
      <c r="L810" s="2">
        <v>0</v>
      </c>
      <c r="M810" s="2">
        <v>843</v>
      </c>
      <c r="N810" s="2" t="s">
        <v>44</v>
      </c>
      <c r="O810" s="2">
        <v>3</v>
      </c>
      <c r="P810" s="2" t="s">
        <v>24</v>
      </c>
    </row>
    <row r="811" spans="1:16" x14ac:dyDescent="0.25">
      <c r="A811" s="4">
        <v>45548</v>
      </c>
      <c r="B811" s="2" t="s">
        <v>1280</v>
      </c>
      <c r="C811" s="2" t="s">
        <v>1478</v>
      </c>
      <c r="D811" t="s">
        <v>174</v>
      </c>
      <c r="E811" s="2" t="s">
        <v>60</v>
      </c>
      <c r="F811" s="2" t="s">
        <v>28</v>
      </c>
      <c r="G811" s="2" t="s">
        <v>29</v>
      </c>
      <c r="H811" s="2" t="s">
        <v>664</v>
      </c>
      <c r="I811" s="2">
        <v>1</v>
      </c>
      <c r="J811" s="2">
        <v>1909</v>
      </c>
      <c r="K811" s="2">
        <v>5</v>
      </c>
      <c r="L811" s="2">
        <v>95.45</v>
      </c>
      <c r="M811" s="2">
        <v>1813.55</v>
      </c>
      <c r="N811" s="2" t="s">
        <v>23</v>
      </c>
      <c r="O811" s="2">
        <v>3</v>
      </c>
      <c r="P811" s="2" t="s">
        <v>24</v>
      </c>
    </row>
    <row r="812" spans="1:16" x14ac:dyDescent="0.25">
      <c r="A812" s="4">
        <v>45549</v>
      </c>
      <c r="B812" s="2" t="s">
        <v>1281</v>
      </c>
      <c r="C812" s="2" t="s">
        <v>557</v>
      </c>
      <c r="D812" t="s">
        <v>84</v>
      </c>
      <c r="E812" s="2" t="s">
        <v>85</v>
      </c>
      <c r="F812" s="2" t="s">
        <v>35</v>
      </c>
      <c r="G812" s="2" t="s">
        <v>130</v>
      </c>
      <c r="H812" s="2" t="s">
        <v>131</v>
      </c>
      <c r="I812" s="2">
        <v>2</v>
      </c>
      <c r="J812" s="2">
        <v>39859</v>
      </c>
      <c r="K812" s="2">
        <v>5</v>
      </c>
      <c r="L812" s="2">
        <v>3985.9</v>
      </c>
      <c r="M812" s="2">
        <v>75732.100000000006</v>
      </c>
      <c r="N812" s="2" t="s">
        <v>23</v>
      </c>
      <c r="O812" s="2">
        <v>1</v>
      </c>
      <c r="P812" s="2" t="s">
        <v>24</v>
      </c>
    </row>
    <row r="813" spans="1:16" x14ac:dyDescent="0.25">
      <c r="A813" s="4">
        <v>45550</v>
      </c>
      <c r="B813" s="2" t="s">
        <v>1282</v>
      </c>
      <c r="C813" s="2" t="s">
        <v>735</v>
      </c>
      <c r="D813" t="s">
        <v>41</v>
      </c>
      <c r="E813" s="2" t="s">
        <v>19</v>
      </c>
      <c r="F813" s="2" t="s">
        <v>20</v>
      </c>
      <c r="G813" s="2" t="s">
        <v>170</v>
      </c>
      <c r="H813" s="2" t="s">
        <v>286</v>
      </c>
      <c r="I813" s="2">
        <v>1</v>
      </c>
      <c r="J813" s="2">
        <v>502</v>
      </c>
      <c r="K813" s="2">
        <v>10</v>
      </c>
      <c r="L813" s="2">
        <v>50.2</v>
      </c>
      <c r="M813" s="2">
        <v>451.8</v>
      </c>
      <c r="N813" s="2" t="s">
        <v>23</v>
      </c>
      <c r="O813" s="2">
        <v>2</v>
      </c>
      <c r="P813" s="2" t="s">
        <v>24</v>
      </c>
    </row>
    <row r="814" spans="1:16" x14ac:dyDescent="0.25">
      <c r="A814" s="4">
        <v>45551</v>
      </c>
      <c r="B814" s="2" t="s">
        <v>1283</v>
      </c>
      <c r="C814" s="2" t="s">
        <v>422</v>
      </c>
      <c r="D814" t="s">
        <v>66</v>
      </c>
      <c r="E814" s="2" t="s">
        <v>19</v>
      </c>
      <c r="F814" s="2" t="s">
        <v>20</v>
      </c>
      <c r="G814" s="2" t="s">
        <v>42</v>
      </c>
      <c r="H814" s="2" t="s">
        <v>195</v>
      </c>
      <c r="I814" s="2">
        <v>1</v>
      </c>
      <c r="J814" s="2">
        <v>7921</v>
      </c>
      <c r="K814" s="2">
        <v>0</v>
      </c>
      <c r="L814" s="2">
        <v>0</v>
      </c>
      <c r="M814" s="2">
        <v>7921</v>
      </c>
      <c r="N814" s="2" t="s">
        <v>56</v>
      </c>
      <c r="O814" s="2">
        <v>4</v>
      </c>
      <c r="P814" s="2" t="s">
        <v>24</v>
      </c>
    </row>
    <row r="815" spans="1:16" x14ac:dyDescent="0.25">
      <c r="A815" s="4">
        <v>45552</v>
      </c>
      <c r="B815" s="2" t="s">
        <v>1284</v>
      </c>
      <c r="C815" s="2" t="s">
        <v>65</v>
      </c>
      <c r="D815" t="s">
        <v>41</v>
      </c>
      <c r="E815" s="2" t="s">
        <v>19</v>
      </c>
      <c r="F815" s="2" t="s">
        <v>20</v>
      </c>
      <c r="G815" s="2" t="s">
        <v>21</v>
      </c>
      <c r="H815" s="2" t="s">
        <v>121</v>
      </c>
      <c r="I815" s="2">
        <v>2</v>
      </c>
      <c r="J815" s="2">
        <v>3421</v>
      </c>
      <c r="K815" s="2">
        <v>0</v>
      </c>
      <c r="L815" s="2">
        <v>0</v>
      </c>
      <c r="M815" s="2">
        <v>6842</v>
      </c>
      <c r="N815" s="2" t="s">
        <v>23</v>
      </c>
      <c r="O815" s="2">
        <v>4</v>
      </c>
      <c r="P815" s="2" t="s">
        <v>24</v>
      </c>
    </row>
    <row r="816" spans="1:16" x14ac:dyDescent="0.25">
      <c r="A816" s="4">
        <v>45553</v>
      </c>
      <c r="B816" s="2" t="s">
        <v>1285</v>
      </c>
      <c r="C816" s="2" t="s">
        <v>769</v>
      </c>
      <c r="D816" t="s">
        <v>27</v>
      </c>
      <c r="E816" s="2" t="s">
        <v>19</v>
      </c>
      <c r="F816" s="2" t="s">
        <v>71</v>
      </c>
      <c r="G816" s="2" t="s">
        <v>86</v>
      </c>
      <c r="H816" s="2" t="s">
        <v>87</v>
      </c>
      <c r="I816" s="2">
        <v>1</v>
      </c>
      <c r="J816" s="2">
        <v>1293</v>
      </c>
      <c r="K816" s="2">
        <v>5</v>
      </c>
      <c r="L816" s="2">
        <v>64.650000000000006</v>
      </c>
      <c r="M816" s="2">
        <v>1228.3499999999999</v>
      </c>
      <c r="N816" s="2" t="s">
        <v>50</v>
      </c>
      <c r="O816" s="2">
        <v>2</v>
      </c>
      <c r="P816" s="2" t="s">
        <v>24</v>
      </c>
    </row>
    <row r="817" spans="1:16" x14ac:dyDescent="0.25">
      <c r="A817" s="4">
        <v>45554</v>
      </c>
      <c r="B817" s="2" t="s">
        <v>1286</v>
      </c>
      <c r="C817" s="2" t="s">
        <v>223</v>
      </c>
      <c r="D817" t="s">
        <v>84</v>
      </c>
      <c r="E817" s="2" t="s">
        <v>85</v>
      </c>
      <c r="F817" s="2" t="s">
        <v>28</v>
      </c>
      <c r="G817" s="2" t="s">
        <v>289</v>
      </c>
      <c r="H817" s="2" t="s">
        <v>439</v>
      </c>
      <c r="I817" s="2">
        <v>2</v>
      </c>
      <c r="J817" s="2">
        <v>2291</v>
      </c>
      <c r="K817" s="2">
        <v>10</v>
      </c>
      <c r="L817" s="2">
        <v>458.2</v>
      </c>
      <c r="M817" s="2">
        <v>4123.8</v>
      </c>
      <c r="N817" s="2" t="s">
        <v>50</v>
      </c>
      <c r="O817" s="2">
        <v>5</v>
      </c>
      <c r="P817" s="2" t="s">
        <v>24</v>
      </c>
    </row>
    <row r="818" spans="1:16" x14ac:dyDescent="0.25">
      <c r="A818" s="4">
        <v>45555</v>
      </c>
      <c r="B818" s="2" t="s">
        <v>1287</v>
      </c>
      <c r="C818" s="2" t="s">
        <v>187</v>
      </c>
      <c r="D818" t="s">
        <v>33</v>
      </c>
      <c r="E818" s="2" t="s">
        <v>34</v>
      </c>
      <c r="F818" s="2" t="s">
        <v>20</v>
      </c>
      <c r="G818" s="2" t="s">
        <v>42</v>
      </c>
      <c r="H818" s="2" t="s">
        <v>221</v>
      </c>
      <c r="I818" s="2">
        <v>1</v>
      </c>
      <c r="J818" s="2">
        <v>5257</v>
      </c>
      <c r="K818" s="2">
        <v>10</v>
      </c>
      <c r="L818" s="2">
        <v>525.70000000000005</v>
      </c>
      <c r="M818" s="2">
        <v>4731.3</v>
      </c>
      <c r="N818" s="2" t="s">
        <v>23</v>
      </c>
      <c r="O818" s="2">
        <v>4</v>
      </c>
      <c r="P818" s="2" t="s">
        <v>24</v>
      </c>
    </row>
    <row r="819" spans="1:16" x14ac:dyDescent="0.25">
      <c r="A819" s="4">
        <v>45556</v>
      </c>
      <c r="B819" s="2" t="s">
        <v>1288</v>
      </c>
      <c r="C819" s="2" t="s">
        <v>729</v>
      </c>
      <c r="D819" t="s">
        <v>53</v>
      </c>
      <c r="E819" s="2" t="s">
        <v>53</v>
      </c>
      <c r="F819" s="2" t="s">
        <v>61</v>
      </c>
      <c r="G819" s="2" t="s">
        <v>250</v>
      </c>
      <c r="H819" s="2" t="s">
        <v>251</v>
      </c>
      <c r="I819" s="2">
        <v>1</v>
      </c>
      <c r="J819" s="2">
        <v>391</v>
      </c>
      <c r="K819" s="2">
        <v>5</v>
      </c>
      <c r="L819" s="2">
        <v>19.55</v>
      </c>
      <c r="M819" s="2">
        <v>371.45</v>
      </c>
      <c r="N819" s="2" t="s">
        <v>50</v>
      </c>
      <c r="O819" s="2">
        <v>1</v>
      </c>
      <c r="P819" s="2" t="s">
        <v>24</v>
      </c>
    </row>
    <row r="820" spans="1:16" x14ac:dyDescent="0.25">
      <c r="A820" s="4">
        <v>45557</v>
      </c>
      <c r="B820" s="2" t="s">
        <v>1289</v>
      </c>
      <c r="C820" s="2" t="s">
        <v>601</v>
      </c>
      <c r="D820" t="s">
        <v>174</v>
      </c>
      <c r="E820" s="2" t="s">
        <v>60</v>
      </c>
      <c r="F820" s="2" t="s">
        <v>61</v>
      </c>
      <c r="G820" s="2" t="s">
        <v>262</v>
      </c>
      <c r="H820" s="2" t="s">
        <v>767</v>
      </c>
      <c r="I820" s="2">
        <v>1</v>
      </c>
      <c r="J820" s="2">
        <v>1112</v>
      </c>
      <c r="K820" s="2">
        <v>0</v>
      </c>
      <c r="L820" s="2">
        <v>0</v>
      </c>
      <c r="M820" s="2">
        <v>1112</v>
      </c>
      <c r="N820" s="2" t="s">
        <v>23</v>
      </c>
      <c r="O820" s="2">
        <v>2</v>
      </c>
      <c r="P820" s="2" t="s">
        <v>24</v>
      </c>
    </row>
    <row r="821" spans="1:16" x14ac:dyDescent="0.25">
      <c r="A821" s="4">
        <v>45558</v>
      </c>
      <c r="B821" s="2" t="s">
        <v>1290</v>
      </c>
      <c r="C821" s="2" t="s">
        <v>575</v>
      </c>
      <c r="D821" t="s">
        <v>33</v>
      </c>
      <c r="E821" s="2" t="s">
        <v>34</v>
      </c>
      <c r="F821" s="2" t="s">
        <v>28</v>
      </c>
      <c r="G821" s="2" t="s">
        <v>29</v>
      </c>
      <c r="H821" s="2" t="s">
        <v>477</v>
      </c>
      <c r="I821" s="2">
        <v>3</v>
      </c>
      <c r="J821" s="2">
        <v>3302</v>
      </c>
      <c r="K821" s="2">
        <v>5</v>
      </c>
      <c r="L821" s="2">
        <v>495.3</v>
      </c>
      <c r="M821" s="2">
        <v>9410.7000000000007</v>
      </c>
      <c r="N821" s="2" t="s">
        <v>44</v>
      </c>
      <c r="O821" s="2">
        <v>2</v>
      </c>
      <c r="P821" s="2" t="s">
        <v>24</v>
      </c>
    </row>
    <row r="822" spans="1:16" x14ac:dyDescent="0.25">
      <c r="A822" s="4">
        <v>45559</v>
      </c>
      <c r="B822" s="2" t="s">
        <v>1291</v>
      </c>
      <c r="C822" s="2" t="s">
        <v>487</v>
      </c>
      <c r="D822" t="s">
        <v>18</v>
      </c>
      <c r="E822" s="2" t="s">
        <v>19</v>
      </c>
      <c r="F822" s="2" t="s">
        <v>35</v>
      </c>
      <c r="G822" s="2" t="s">
        <v>130</v>
      </c>
      <c r="H822" s="2" t="s">
        <v>175</v>
      </c>
      <c r="I822" s="2">
        <v>3</v>
      </c>
      <c r="J822" s="2">
        <v>29975</v>
      </c>
      <c r="K822" s="2">
        <v>10</v>
      </c>
      <c r="L822" s="2">
        <v>8992.5</v>
      </c>
      <c r="M822" s="2">
        <v>80932.5</v>
      </c>
      <c r="N822" s="2" t="s">
        <v>44</v>
      </c>
      <c r="O822" s="2">
        <v>4</v>
      </c>
      <c r="P822" s="2" t="s">
        <v>24</v>
      </c>
    </row>
    <row r="823" spans="1:16" x14ac:dyDescent="0.25">
      <c r="A823" s="4">
        <v>45560</v>
      </c>
      <c r="B823" s="2" t="s">
        <v>1292</v>
      </c>
      <c r="C823" s="2" t="s">
        <v>1014</v>
      </c>
      <c r="D823" t="s">
        <v>174</v>
      </c>
      <c r="E823" s="2" t="s">
        <v>60</v>
      </c>
      <c r="F823" s="2" t="s">
        <v>35</v>
      </c>
      <c r="G823" s="2" t="s">
        <v>124</v>
      </c>
      <c r="H823" s="2" t="s">
        <v>350</v>
      </c>
      <c r="I823" s="2">
        <v>1</v>
      </c>
      <c r="J823" s="2">
        <v>30222</v>
      </c>
      <c r="K823" s="2">
        <v>5</v>
      </c>
      <c r="L823" s="2">
        <v>1511.1</v>
      </c>
      <c r="M823" s="2">
        <v>28710.9</v>
      </c>
      <c r="N823" s="2" t="s">
        <v>56</v>
      </c>
      <c r="O823" s="2">
        <v>4</v>
      </c>
      <c r="P823" s="2" t="s">
        <v>24</v>
      </c>
    </row>
    <row r="824" spans="1:16" x14ac:dyDescent="0.25">
      <c r="A824" s="4">
        <v>45561</v>
      </c>
      <c r="B824" s="2" t="s">
        <v>1293</v>
      </c>
      <c r="C824" s="2" t="s">
        <v>980</v>
      </c>
      <c r="D824" t="s">
        <v>84</v>
      </c>
      <c r="E824" s="2" t="s">
        <v>85</v>
      </c>
      <c r="F824" s="2" t="s">
        <v>61</v>
      </c>
      <c r="G824" s="2" t="s">
        <v>200</v>
      </c>
      <c r="H824" s="2" t="s">
        <v>587</v>
      </c>
      <c r="I824" s="2">
        <v>1</v>
      </c>
      <c r="J824" s="2">
        <v>1023</v>
      </c>
      <c r="K824" s="2">
        <v>5</v>
      </c>
      <c r="L824" s="2">
        <v>51.15</v>
      </c>
      <c r="M824" s="2">
        <v>971.85</v>
      </c>
      <c r="N824" s="2" t="s">
        <v>23</v>
      </c>
      <c r="O824" s="2">
        <v>2</v>
      </c>
      <c r="P824" s="2" t="s">
        <v>24</v>
      </c>
    </row>
    <row r="825" spans="1:16" x14ac:dyDescent="0.25">
      <c r="A825" s="4">
        <v>45562</v>
      </c>
      <c r="B825" s="2" t="s">
        <v>1294</v>
      </c>
      <c r="C825" s="2" t="s">
        <v>379</v>
      </c>
      <c r="D825" t="s">
        <v>53</v>
      </c>
      <c r="E825" s="2" t="s">
        <v>53</v>
      </c>
      <c r="F825" s="2" t="s">
        <v>61</v>
      </c>
      <c r="G825" s="2" t="s">
        <v>250</v>
      </c>
      <c r="H825" s="2" t="s">
        <v>256</v>
      </c>
      <c r="I825" s="2">
        <v>1</v>
      </c>
      <c r="J825" s="2">
        <v>733</v>
      </c>
      <c r="K825" s="2">
        <v>0</v>
      </c>
      <c r="L825" s="2">
        <v>0</v>
      </c>
      <c r="M825" s="2">
        <v>733</v>
      </c>
      <c r="N825" s="2" t="s">
        <v>23</v>
      </c>
      <c r="O825" s="2">
        <v>2</v>
      </c>
      <c r="P825" s="2" t="s">
        <v>24</v>
      </c>
    </row>
    <row r="826" spans="1:16" x14ac:dyDescent="0.25">
      <c r="A826" s="4">
        <v>45563</v>
      </c>
      <c r="B826" s="2" t="s">
        <v>1295</v>
      </c>
      <c r="C826" s="2" t="s">
        <v>1078</v>
      </c>
      <c r="D826" t="s">
        <v>84</v>
      </c>
      <c r="E826" s="2" t="s">
        <v>85</v>
      </c>
      <c r="F826" s="2" t="s">
        <v>71</v>
      </c>
      <c r="G826" s="2" t="s">
        <v>114</v>
      </c>
      <c r="H826" s="2" t="s">
        <v>245</v>
      </c>
      <c r="I826" s="2">
        <v>1</v>
      </c>
      <c r="J826" s="2">
        <v>1091</v>
      </c>
      <c r="K826" s="2">
        <v>10</v>
      </c>
      <c r="L826" s="2">
        <v>109.1</v>
      </c>
      <c r="M826" s="2">
        <v>981.9</v>
      </c>
      <c r="N826" s="2" t="s">
        <v>23</v>
      </c>
      <c r="O826" s="2">
        <v>4</v>
      </c>
      <c r="P826" s="2" t="s">
        <v>24</v>
      </c>
    </row>
    <row r="827" spans="1:16" x14ac:dyDescent="0.25">
      <c r="A827" s="4">
        <v>45564</v>
      </c>
      <c r="B827" s="2" t="s">
        <v>1296</v>
      </c>
      <c r="C827" s="2" t="s">
        <v>729</v>
      </c>
      <c r="D827" t="s">
        <v>53</v>
      </c>
      <c r="E827" s="2" t="s">
        <v>53</v>
      </c>
      <c r="F827" s="2" t="s">
        <v>35</v>
      </c>
      <c r="G827" s="2" t="s">
        <v>36</v>
      </c>
      <c r="H827" s="2" t="s">
        <v>37</v>
      </c>
      <c r="I827" s="2">
        <v>1</v>
      </c>
      <c r="J827" s="2">
        <v>18970</v>
      </c>
      <c r="K827" s="2">
        <v>0</v>
      </c>
      <c r="L827" s="2">
        <v>0</v>
      </c>
      <c r="M827" s="2">
        <v>18970</v>
      </c>
      <c r="N827" s="2" t="s">
        <v>50</v>
      </c>
      <c r="O827" s="2">
        <v>4</v>
      </c>
      <c r="P827" s="2" t="s">
        <v>24</v>
      </c>
    </row>
    <row r="828" spans="1:16" x14ac:dyDescent="0.25">
      <c r="A828" s="4">
        <v>45565</v>
      </c>
      <c r="B828" s="2" t="s">
        <v>1297</v>
      </c>
      <c r="C828" s="2" t="s">
        <v>185</v>
      </c>
      <c r="D828" t="s">
        <v>66</v>
      </c>
      <c r="E828" s="2" t="s">
        <v>19</v>
      </c>
      <c r="F828" s="2" t="s">
        <v>61</v>
      </c>
      <c r="G828" s="2" t="s">
        <v>150</v>
      </c>
      <c r="H828" s="2" t="s">
        <v>359</v>
      </c>
      <c r="I828" s="2">
        <v>1</v>
      </c>
      <c r="J828" s="2">
        <v>1519</v>
      </c>
      <c r="K828" s="2">
        <v>20</v>
      </c>
      <c r="L828" s="2">
        <v>303.8</v>
      </c>
      <c r="M828" s="2">
        <v>1215.2</v>
      </c>
      <c r="N828" s="2" t="s">
        <v>44</v>
      </c>
      <c r="O828" s="2">
        <v>7</v>
      </c>
      <c r="P828" s="2" t="s">
        <v>24</v>
      </c>
    </row>
    <row r="829" spans="1:16" x14ac:dyDescent="0.25">
      <c r="A829" s="4">
        <v>45566</v>
      </c>
      <c r="B829" s="2" t="s">
        <v>1298</v>
      </c>
      <c r="C829" s="2" t="s">
        <v>147</v>
      </c>
      <c r="D829" t="s">
        <v>174</v>
      </c>
      <c r="E829" s="2" t="s">
        <v>60</v>
      </c>
      <c r="F829" s="2" t="s">
        <v>71</v>
      </c>
      <c r="G829" s="2" t="s">
        <v>72</v>
      </c>
      <c r="H829" s="2" t="s">
        <v>73</v>
      </c>
      <c r="I829" s="2">
        <v>1</v>
      </c>
      <c r="J829" s="2">
        <v>694</v>
      </c>
      <c r="K829" s="2">
        <v>15</v>
      </c>
      <c r="L829" s="2">
        <v>104.1</v>
      </c>
      <c r="M829" s="2">
        <v>589.9</v>
      </c>
      <c r="N829" s="2" t="s">
        <v>23</v>
      </c>
      <c r="O829" s="2">
        <v>1</v>
      </c>
      <c r="P829" s="2" t="s">
        <v>24</v>
      </c>
    </row>
    <row r="830" spans="1:16" x14ac:dyDescent="0.25">
      <c r="A830" s="4">
        <v>45567</v>
      </c>
      <c r="B830" s="2" t="s">
        <v>1299</v>
      </c>
      <c r="C830" s="2" t="s">
        <v>667</v>
      </c>
      <c r="D830" t="s">
        <v>47</v>
      </c>
      <c r="E830" s="2" t="s">
        <v>48</v>
      </c>
      <c r="F830" s="2" t="s">
        <v>28</v>
      </c>
      <c r="G830" s="2" t="s">
        <v>29</v>
      </c>
      <c r="H830" s="2" t="s">
        <v>664</v>
      </c>
      <c r="I830" s="2">
        <v>3</v>
      </c>
      <c r="J830" s="2">
        <v>2414</v>
      </c>
      <c r="K830" s="2">
        <v>15</v>
      </c>
      <c r="L830" s="2">
        <v>1086.3</v>
      </c>
      <c r="M830" s="2">
        <v>6155.7</v>
      </c>
      <c r="N830" s="2" t="s">
        <v>23</v>
      </c>
      <c r="O830" s="2">
        <v>2</v>
      </c>
      <c r="P830" s="2" t="s">
        <v>24</v>
      </c>
    </row>
    <row r="831" spans="1:16" x14ac:dyDescent="0.25">
      <c r="A831" s="4">
        <v>45568</v>
      </c>
      <c r="B831" s="2" t="s">
        <v>1300</v>
      </c>
      <c r="C831" s="2" t="s">
        <v>240</v>
      </c>
      <c r="D831" t="s">
        <v>66</v>
      </c>
      <c r="E831" s="2" t="s">
        <v>19</v>
      </c>
      <c r="F831" s="2" t="s">
        <v>28</v>
      </c>
      <c r="G831" s="2" t="s">
        <v>188</v>
      </c>
      <c r="H831" s="2" t="s">
        <v>418</v>
      </c>
      <c r="I831" s="2">
        <v>1</v>
      </c>
      <c r="J831" s="2">
        <v>4629</v>
      </c>
      <c r="K831" s="2">
        <v>0</v>
      </c>
      <c r="L831" s="2">
        <v>0</v>
      </c>
      <c r="M831" s="2">
        <v>4629</v>
      </c>
      <c r="N831" s="2" t="s">
        <v>23</v>
      </c>
      <c r="O831" s="2">
        <v>3</v>
      </c>
      <c r="P831" s="2" t="s">
        <v>24</v>
      </c>
    </row>
    <row r="832" spans="1:16" x14ac:dyDescent="0.25">
      <c r="A832" s="4">
        <v>45569</v>
      </c>
      <c r="B832" s="2" t="s">
        <v>1301</v>
      </c>
      <c r="C832" s="2" t="s">
        <v>541</v>
      </c>
      <c r="D832" t="s">
        <v>18</v>
      </c>
      <c r="E832" s="2" t="s">
        <v>19</v>
      </c>
      <c r="F832" s="2" t="s">
        <v>61</v>
      </c>
      <c r="G832" s="2" t="s">
        <v>200</v>
      </c>
      <c r="H832" s="2" t="s">
        <v>473</v>
      </c>
      <c r="I832" s="2">
        <v>1</v>
      </c>
      <c r="J832" s="2">
        <v>864</v>
      </c>
      <c r="K832" s="2">
        <v>5</v>
      </c>
      <c r="L832" s="2">
        <v>43.2</v>
      </c>
      <c r="M832" s="2">
        <v>820.8</v>
      </c>
      <c r="N832" s="2" t="s">
        <v>38</v>
      </c>
      <c r="O832" s="2">
        <v>4</v>
      </c>
      <c r="P832" s="2" t="s">
        <v>24</v>
      </c>
    </row>
    <row r="833" spans="1:16" x14ac:dyDescent="0.25">
      <c r="A833" s="4">
        <v>45570</v>
      </c>
      <c r="B833" s="2" t="s">
        <v>1302</v>
      </c>
      <c r="C833" s="2" t="s">
        <v>510</v>
      </c>
      <c r="D833" t="s">
        <v>66</v>
      </c>
      <c r="E833" s="2" t="s">
        <v>19</v>
      </c>
      <c r="F833" s="2" t="s">
        <v>61</v>
      </c>
      <c r="G833" s="2" t="s">
        <v>150</v>
      </c>
      <c r="H833" s="2" t="s">
        <v>497</v>
      </c>
      <c r="I833" s="2">
        <v>1</v>
      </c>
      <c r="J833" s="2">
        <v>598</v>
      </c>
      <c r="K833" s="2">
        <v>20</v>
      </c>
      <c r="L833" s="2">
        <v>119.6</v>
      </c>
      <c r="M833" s="2">
        <v>478.4</v>
      </c>
      <c r="N833" s="2" t="s">
        <v>44</v>
      </c>
      <c r="O833" s="2">
        <v>7</v>
      </c>
      <c r="P833" s="2" t="s">
        <v>24</v>
      </c>
    </row>
    <row r="834" spans="1:16" x14ac:dyDescent="0.25">
      <c r="A834" s="4">
        <v>45571</v>
      </c>
      <c r="B834" s="2" t="s">
        <v>1303</v>
      </c>
      <c r="C834" s="2" t="s">
        <v>735</v>
      </c>
      <c r="D834" t="s">
        <v>53</v>
      </c>
      <c r="E834" s="2" t="s">
        <v>53</v>
      </c>
      <c r="F834" s="2" t="s">
        <v>61</v>
      </c>
      <c r="G834" s="2" t="s">
        <v>262</v>
      </c>
      <c r="H834" s="2" t="s">
        <v>767</v>
      </c>
      <c r="I834" s="2">
        <v>1</v>
      </c>
      <c r="J834" s="2">
        <v>1577</v>
      </c>
      <c r="K834" s="2">
        <v>10</v>
      </c>
      <c r="L834" s="2">
        <v>157.69999999999999</v>
      </c>
      <c r="M834" s="2">
        <v>1419.3</v>
      </c>
      <c r="N834" s="2" t="s">
        <v>44</v>
      </c>
      <c r="O834" s="2">
        <v>3</v>
      </c>
      <c r="P834" s="2" t="s">
        <v>24</v>
      </c>
    </row>
    <row r="835" spans="1:16" x14ac:dyDescent="0.25">
      <c r="A835" s="4">
        <v>45572</v>
      </c>
      <c r="B835" s="2" t="s">
        <v>1304</v>
      </c>
      <c r="C835" s="2" t="s">
        <v>135</v>
      </c>
      <c r="D835" t="s">
        <v>53</v>
      </c>
      <c r="E835" s="2" t="s">
        <v>53</v>
      </c>
      <c r="F835" s="2" t="s">
        <v>35</v>
      </c>
      <c r="G835" s="2" t="s">
        <v>130</v>
      </c>
      <c r="H835" s="2" t="s">
        <v>167</v>
      </c>
      <c r="I835" s="2">
        <v>1</v>
      </c>
      <c r="J835" s="2">
        <v>27304</v>
      </c>
      <c r="K835" s="2">
        <v>0</v>
      </c>
      <c r="L835" s="2">
        <v>0</v>
      </c>
      <c r="M835" s="2">
        <v>27304</v>
      </c>
      <c r="N835" s="2" t="s">
        <v>23</v>
      </c>
      <c r="O835" s="2">
        <v>2</v>
      </c>
      <c r="P835" s="2" t="s">
        <v>24</v>
      </c>
    </row>
    <row r="836" spans="1:16" x14ac:dyDescent="0.25">
      <c r="A836" s="4">
        <v>45573</v>
      </c>
      <c r="B836" s="2" t="s">
        <v>1305</v>
      </c>
      <c r="C836" s="2" t="s">
        <v>218</v>
      </c>
      <c r="D836" t="s">
        <v>59</v>
      </c>
      <c r="E836" s="2" t="s">
        <v>60</v>
      </c>
      <c r="F836" s="2" t="s">
        <v>20</v>
      </c>
      <c r="G836" s="2" t="s">
        <v>54</v>
      </c>
      <c r="H836" s="2" t="s">
        <v>236</v>
      </c>
      <c r="I836" s="2">
        <v>1</v>
      </c>
      <c r="J836" s="2">
        <v>5512</v>
      </c>
      <c r="K836" s="2">
        <v>5</v>
      </c>
      <c r="L836" s="2">
        <v>275.60000000000002</v>
      </c>
      <c r="M836" s="2">
        <v>5236.3999999999996</v>
      </c>
      <c r="N836" s="2" t="s">
        <v>50</v>
      </c>
      <c r="O836" s="2">
        <v>3</v>
      </c>
      <c r="P836" s="2" t="s">
        <v>24</v>
      </c>
    </row>
    <row r="837" spans="1:16" x14ac:dyDescent="0.25">
      <c r="A837" s="4">
        <v>45574</v>
      </c>
      <c r="B837" s="2" t="s">
        <v>1306</v>
      </c>
      <c r="C837" s="2" t="s">
        <v>348</v>
      </c>
      <c r="D837" t="s">
        <v>53</v>
      </c>
      <c r="E837" s="2" t="s">
        <v>53</v>
      </c>
      <c r="F837" s="2" t="s">
        <v>35</v>
      </c>
      <c r="G837" s="2" t="s">
        <v>124</v>
      </c>
      <c r="H837" s="2" t="s">
        <v>350</v>
      </c>
      <c r="I837" s="2">
        <v>1</v>
      </c>
      <c r="J837" s="2">
        <v>35874</v>
      </c>
      <c r="K837" s="2">
        <v>0</v>
      </c>
      <c r="L837" s="2">
        <v>0</v>
      </c>
      <c r="M837" s="2">
        <v>35874</v>
      </c>
      <c r="N837" s="2" t="s">
        <v>44</v>
      </c>
      <c r="O837" s="2">
        <v>5</v>
      </c>
      <c r="P837" s="2" t="s">
        <v>24</v>
      </c>
    </row>
    <row r="838" spans="1:16" x14ac:dyDescent="0.25">
      <c r="A838" s="4">
        <v>45575</v>
      </c>
      <c r="B838" s="2" t="s">
        <v>1307</v>
      </c>
      <c r="C838" s="2" t="s">
        <v>471</v>
      </c>
      <c r="D838" t="s">
        <v>18</v>
      </c>
      <c r="E838" s="2" t="s">
        <v>19</v>
      </c>
      <c r="F838" s="2" t="s">
        <v>71</v>
      </c>
      <c r="G838" s="2" t="s">
        <v>76</v>
      </c>
      <c r="H838" s="2" t="s">
        <v>95</v>
      </c>
      <c r="I838" s="2">
        <v>1</v>
      </c>
      <c r="J838" s="2">
        <v>519</v>
      </c>
      <c r="K838" s="2">
        <v>0</v>
      </c>
      <c r="L838" s="2">
        <v>0</v>
      </c>
      <c r="M838" s="2">
        <v>519</v>
      </c>
      <c r="N838" s="2" t="s">
        <v>23</v>
      </c>
      <c r="O838" s="2">
        <v>2</v>
      </c>
      <c r="P838" s="2" t="s">
        <v>24</v>
      </c>
    </row>
    <row r="839" spans="1:16" x14ac:dyDescent="0.25">
      <c r="A839" s="4">
        <v>45576</v>
      </c>
      <c r="B839" s="2" t="s">
        <v>1308</v>
      </c>
      <c r="C839" s="2" t="s">
        <v>1124</v>
      </c>
      <c r="D839" t="s">
        <v>27</v>
      </c>
      <c r="E839" s="2" t="s">
        <v>19</v>
      </c>
      <c r="F839" s="2" t="s">
        <v>28</v>
      </c>
      <c r="G839" s="2" t="s">
        <v>110</v>
      </c>
      <c r="H839" s="2" t="s">
        <v>409</v>
      </c>
      <c r="I839" s="2">
        <v>2</v>
      </c>
      <c r="J839" s="2">
        <v>1239</v>
      </c>
      <c r="K839" s="2">
        <v>0</v>
      </c>
      <c r="L839" s="2">
        <v>0</v>
      </c>
      <c r="M839" s="2">
        <v>2478</v>
      </c>
      <c r="N839" s="2" t="s">
        <v>23</v>
      </c>
      <c r="O839" s="2">
        <v>1</v>
      </c>
      <c r="P839" s="2" t="s">
        <v>24</v>
      </c>
    </row>
    <row r="840" spans="1:16" x14ac:dyDescent="0.25">
      <c r="A840" s="4">
        <v>45577</v>
      </c>
      <c r="B840" s="2" t="s">
        <v>1309</v>
      </c>
      <c r="C840" s="2" t="s">
        <v>113</v>
      </c>
      <c r="D840" t="s">
        <v>18</v>
      </c>
      <c r="E840" s="2" t="s">
        <v>19</v>
      </c>
      <c r="F840" s="2" t="s">
        <v>20</v>
      </c>
      <c r="G840" s="2" t="s">
        <v>54</v>
      </c>
      <c r="H840" s="2" t="s">
        <v>269</v>
      </c>
      <c r="I840" s="2">
        <v>1</v>
      </c>
      <c r="J840" s="2">
        <v>7361</v>
      </c>
      <c r="K840" s="2">
        <v>0</v>
      </c>
      <c r="L840" s="2">
        <v>0</v>
      </c>
      <c r="M840" s="2">
        <v>7361</v>
      </c>
      <c r="N840" s="2" t="s">
        <v>44</v>
      </c>
      <c r="O840" s="2">
        <v>4</v>
      </c>
      <c r="P840" s="2" t="s">
        <v>24</v>
      </c>
    </row>
    <row r="841" spans="1:16" x14ac:dyDescent="0.25">
      <c r="A841" s="4">
        <v>45578</v>
      </c>
      <c r="B841" s="2" t="s">
        <v>1310</v>
      </c>
      <c r="C841" s="2" t="s">
        <v>244</v>
      </c>
      <c r="D841" t="s">
        <v>41</v>
      </c>
      <c r="E841" s="2" t="s">
        <v>19</v>
      </c>
      <c r="F841" s="2" t="s">
        <v>28</v>
      </c>
      <c r="G841" s="2" t="s">
        <v>110</v>
      </c>
      <c r="H841" s="2" t="s">
        <v>111</v>
      </c>
      <c r="I841" s="2">
        <v>2</v>
      </c>
      <c r="J841" s="2">
        <v>2957</v>
      </c>
      <c r="K841" s="2">
        <v>5</v>
      </c>
      <c r="L841" s="2">
        <v>295.7</v>
      </c>
      <c r="M841" s="2">
        <v>5618.3</v>
      </c>
      <c r="N841" s="2" t="s">
        <v>23</v>
      </c>
      <c r="O841" s="2">
        <v>2</v>
      </c>
      <c r="P841" s="2" t="s">
        <v>24</v>
      </c>
    </row>
    <row r="842" spans="1:16" x14ac:dyDescent="0.25">
      <c r="A842" s="4">
        <v>45579</v>
      </c>
      <c r="B842" s="2" t="s">
        <v>1311</v>
      </c>
      <c r="C842" s="2" t="s">
        <v>432</v>
      </c>
      <c r="D842" t="s">
        <v>84</v>
      </c>
      <c r="E842" s="2" t="s">
        <v>85</v>
      </c>
      <c r="F842" s="2" t="s">
        <v>71</v>
      </c>
      <c r="G842" s="2" t="s">
        <v>106</v>
      </c>
      <c r="H842" s="2" t="s">
        <v>183</v>
      </c>
      <c r="I842" s="2">
        <v>1</v>
      </c>
      <c r="J842" s="2">
        <v>620</v>
      </c>
      <c r="K842" s="2">
        <v>5</v>
      </c>
      <c r="L842" s="2">
        <v>31</v>
      </c>
      <c r="M842" s="2">
        <v>589</v>
      </c>
      <c r="N842" s="2" t="s">
        <v>44</v>
      </c>
      <c r="O842" s="2">
        <v>4</v>
      </c>
      <c r="P842" s="2" t="s">
        <v>24</v>
      </c>
    </row>
    <row r="843" spans="1:16" x14ac:dyDescent="0.25">
      <c r="A843" s="4">
        <v>45580</v>
      </c>
      <c r="B843" s="2" t="s">
        <v>1312</v>
      </c>
      <c r="C843" s="2" t="s">
        <v>258</v>
      </c>
      <c r="D843" t="s">
        <v>59</v>
      </c>
      <c r="E843" s="2" t="s">
        <v>60</v>
      </c>
      <c r="F843" s="2" t="s">
        <v>20</v>
      </c>
      <c r="G843" s="2" t="s">
        <v>42</v>
      </c>
      <c r="H843" s="2" t="s">
        <v>195</v>
      </c>
      <c r="I843" s="2">
        <v>1</v>
      </c>
      <c r="J843" s="2">
        <v>3555</v>
      </c>
      <c r="K843" s="2">
        <v>5</v>
      </c>
      <c r="L843" s="2">
        <v>177.75</v>
      </c>
      <c r="M843" s="2">
        <v>3377.25</v>
      </c>
      <c r="N843" s="2" t="s">
        <v>50</v>
      </c>
      <c r="O843" s="2">
        <v>1</v>
      </c>
      <c r="P843" s="2" t="s">
        <v>24</v>
      </c>
    </row>
    <row r="844" spans="1:16" x14ac:dyDescent="0.25">
      <c r="A844" s="4">
        <v>45581</v>
      </c>
      <c r="B844" s="2" t="s">
        <v>1313</v>
      </c>
      <c r="C844" s="2" t="s">
        <v>1102</v>
      </c>
      <c r="D844" t="s">
        <v>174</v>
      </c>
      <c r="E844" s="2" t="s">
        <v>60</v>
      </c>
      <c r="F844" s="2" t="s">
        <v>35</v>
      </c>
      <c r="G844" s="2" t="s">
        <v>67</v>
      </c>
      <c r="H844" s="2" t="s">
        <v>322</v>
      </c>
      <c r="I844" s="2">
        <v>1</v>
      </c>
      <c r="J844" s="2">
        <v>32600</v>
      </c>
      <c r="K844" s="2">
        <v>10</v>
      </c>
      <c r="L844" s="2">
        <v>3260</v>
      </c>
      <c r="M844" s="2">
        <v>29340</v>
      </c>
      <c r="N844" s="2" t="s">
        <v>50</v>
      </c>
      <c r="O844" s="2">
        <v>3</v>
      </c>
      <c r="P844" s="2" t="s">
        <v>24</v>
      </c>
    </row>
    <row r="845" spans="1:16" x14ac:dyDescent="0.25">
      <c r="A845" s="4">
        <v>45582</v>
      </c>
      <c r="B845" s="2" t="s">
        <v>1314</v>
      </c>
      <c r="C845" s="2" t="s">
        <v>996</v>
      </c>
      <c r="D845" t="s">
        <v>18</v>
      </c>
      <c r="E845" s="2" t="s">
        <v>19</v>
      </c>
      <c r="F845" s="2" t="s">
        <v>61</v>
      </c>
      <c r="G845" s="2" t="s">
        <v>200</v>
      </c>
      <c r="H845" s="2" t="s">
        <v>226</v>
      </c>
      <c r="I845" s="2">
        <v>1</v>
      </c>
      <c r="J845" s="2">
        <v>808</v>
      </c>
      <c r="K845" s="2">
        <v>5</v>
      </c>
      <c r="L845" s="2">
        <v>40.4</v>
      </c>
      <c r="M845" s="2">
        <v>767.6</v>
      </c>
      <c r="N845" s="2" t="s">
        <v>50</v>
      </c>
      <c r="O845" s="2">
        <v>1</v>
      </c>
      <c r="P845" s="2" t="s">
        <v>24</v>
      </c>
    </row>
    <row r="846" spans="1:16" x14ac:dyDescent="0.25">
      <c r="A846" s="4">
        <v>45583</v>
      </c>
      <c r="B846" s="2" t="s">
        <v>1315</v>
      </c>
      <c r="C846" s="2" t="s">
        <v>655</v>
      </c>
      <c r="D846" t="s">
        <v>27</v>
      </c>
      <c r="E846" s="2" t="s">
        <v>19</v>
      </c>
      <c r="F846" s="2" t="s">
        <v>61</v>
      </c>
      <c r="G846" s="2" t="s">
        <v>250</v>
      </c>
      <c r="H846" s="2" t="s">
        <v>591</v>
      </c>
      <c r="I846" s="2">
        <v>1</v>
      </c>
      <c r="J846" s="2">
        <v>1601</v>
      </c>
      <c r="K846" s="2">
        <v>5</v>
      </c>
      <c r="L846" s="2">
        <v>80.05</v>
      </c>
      <c r="M846" s="2">
        <v>1520.95</v>
      </c>
      <c r="N846" s="2" t="s">
        <v>44</v>
      </c>
      <c r="O846" s="2">
        <v>8</v>
      </c>
      <c r="P846" s="2" t="s">
        <v>92</v>
      </c>
    </row>
    <row r="847" spans="1:16" x14ac:dyDescent="0.25">
      <c r="A847" s="4">
        <v>45584</v>
      </c>
      <c r="B847" s="2" t="s">
        <v>1316</v>
      </c>
      <c r="C847" s="2" t="s">
        <v>218</v>
      </c>
      <c r="D847" t="s">
        <v>33</v>
      </c>
      <c r="E847" s="2" t="s">
        <v>34</v>
      </c>
      <c r="F847" s="2" t="s">
        <v>61</v>
      </c>
      <c r="G847" s="2" t="s">
        <v>62</v>
      </c>
      <c r="H847" s="2" t="s">
        <v>534</v>
      </c>
      <c r="I847" s="2">
        <v>1</v>
      </c>
      <c r="J847" s="2">
        <v>1046</v>
      </c>
      <c r="K847" s="2">
        <v>0</v>
      </c>
      <c r="L847" s="2">
        <v>0</v>
      </c>
      <c r="M847" s="2">
        <v>1046</v>
      </c>
      <c r="N847" s="2" t="s">
        <v>50</v>
      </c>
      <c r="O847" s="2">
        <v>2</v>
      </c>
      <c r="P847" s="2" t="s">
        <v>24</v>
      </c>
    </row>
    <row r="848" spans="1:16" x14ac:dyDescent="0.25">
      <c r="A848" s="4">
        <v>45585</v>
      </c>
      <c r="B848" s="2" t="s">
        <v>1317</v>
      </c>
      <c r="C848" s="2" t="s">
        <v>306</v>
      </c>
      <c r="D848" t="s">
        <v>174</v>
      </c>
      <c r="E848" s="2" t="s">
        <v>60</v>
      </c>
      <c r="F848" s="2" t="s">
        <v>71</v>
      </c>
      <c r="G848" s="2" t="s">
        <v>106</v>
      </c>
      <c r="H848" s="2" t="s">
        <v>183</v>
      </c>
      <c r="I848" s="2">
        <v>1</v>
      </c>
      <c r="J848" s="2">
        <v>1435</v>
      </c>
      <c r="K848" s="2">
        <v>0</v>
      </c>
      <c r="L848" s="2">
        <v>0</v>
      </c>
      <c r="M848" s="2">
        <v>1435</v>
      </c>
      <c r="N848" s="2" t="s">
        <v>23</v>
      </c>
      <c r="O848" s="2">
        <v>4</v>
      </c>
      <c r="P848" s="2" t="s">
        <v>24</v>
      </c>
    </row>
    <row r="849" spans="1:16" x14ac:dyDescent="0.25">
      <c r="A849" s="4">
        <v>45586</v>
      </c>
      <c r="B849" s="2" t="s">
        <v>1318</v>
      </c>
      <c r="C849" s="2" t="s">
        <v>83</v>
      </c>
      <c r="D849" t="s">
        <v>174</v>
      </c>
      <c r="E849" s="2" t="s">
        <v>60</v>
      </c>
      <c r="F849" s="2" t="s">
        <v>20</v>
      </c>
      <c r="G849" s="2" t="s">
        <v>42</v>
      </c>
      <c r="H849" s="2" t="s">
        <v>43</v>
      </c>
      <c r="I849" s="2">
        <v>2</v>
      </c>
      <c r="J849" s="2">
        <v>5252</v>
      </c>
      <c r="K849" s="2">
        <v>5</v>
      </c>
      <c r="L849" s="2">
        <v>525.20000000000005</v>
      </c>
      <c r="M849" s="2">
        <v>9978.7999999999993</v>
      </c>
      <c r="N849" s="2" t="s">
        <v>44</v>
      </c>
      <c r="O849" s="2">
        <v>5</v>
      </c>
      <c r="P849" s="2" t="s">
        <v>24</v>
      </c>
    </row>
    <row r="850" spans="1:16" x14ac:dyDescent="0.25">
      <c r="A850" s="4">
        <v>45587</v>
      </c>
      <c r="B850" s="2" t="s">
        <v>1319</v>
      </c>
      <c r="C850" s="2" t="s">
        <v>83</v>
      </c>
      <c r="D850" t="s">
        <v>27</v>
      </c>
      <c r="E850" s="2" t="s">
        <v>19</v>
      </c>
      <c r="F850" s="2" t="s">
        <v>61</v>
      </c>
      <c r="G850" s="2" t="s">
        <v>262</v>
      </c>
      <c r="H850" s="2" t="s">
        <v>310</v>
      </c>
      <c r="I850" s="2">
        <v>1</v>
      </c>
      <c r="J850" s="2">
        <v>161</v>
      </c>
      <c r="K850" s="2">
        <v>10</v>
      </c>
      <c r="L850" s="2">
        <v>16.100000000000001</v>
      </c>
      <c r="M850" s="2">
        <v>144.9</v>
      </c>
      <c r="N850" s="2" t="s">
        <v>23</v>
      </c>
      <c r="O850" s="2">
        <v>1</v>
      </c>
      <c r="P850" s="2" t="s">
        <v>24</v>
      </c>
    </row>
    <row r="851" spans="1:16" x14ac:dyDescent="0.25">
      <c r="A851" s="4">
        <v>45588</v>
      </c>
      <c r="B851" s="2" t="s">
        <v>1320</v>
      </c>
      <c r="C851" s="2" t="s">
        <v>94</v>
      </c>
      <c r="D851" t="s">
        <v>33</v>
      </c>
      <c r="E851" s="2" t="s">
        <v>34</v>
      </c>
      <c r="F851" s="2" t="s">
        <v>35</v>
      </c>
      <c r="G851" s="2" t="s">
        <v>124</v>
      </c>
      <c r="H851" s="2" t="s">
        <v>142</v>
      </c>
      <c r="I851" s="2">
        <v>1</v>
      </c>
      <c r="J851" s="2">
        <v>4875</v>
      </c>
      <c r="K851" s="2">
        <v>5</v>
      </c>
      <c r="L851" s="2">
        <v>243.75</v>
      </c>
      <c r="M851" s="2">
        <v>4631.25</v>
      </c>
      <c r="N851" s="2" t="s">
        <v>23</v>
      </c>
      <c r="O851" s="2">
        <v>2</v>
      </c>
      <c r="P851" s="2" t="s">
        <v>24</v>
      </c>
    </row>
    <row r="852" spans="1:16" x14ac:dyDescent="0.25">
      <c r="A852" s="4">
        <v>45589</v>
      </c>
      <c r="B852" s="2" t="s">
        <v>1321</v>
      </c>
      <c r="C852" s="2" t="s">
        <v>1196</v>
      </c>
      <c r="D852" t="s">
        <v>41</v>
      </c>
      <c r="E852" s="2" t="s">
        <v>19</v>
      </c>
      <c r="F852" s="2" t="s">
        <v>20</v>
      </c>
      <c r="G852" s="2" t="s">
        <v>139</v>
      </c>
      <c r="H852" s="2" t="s">
        <v>646</v>
      </c>
      <c r="I852" s="2">
        <v>2</v>
      </c>
      <c r="J852" s="2">
        <v>4732</v>
      </c>
      <c r="K852" s="2">
        <v>0</v>
      </c>
      <c r="L852" s="2">
        <v>0</v>
      </c>
      <c r="M852" s="2">
        <v>9464</v>
      </c>
      <c r="N852" s="2" t="s">
        <v>56</v>
      </c>
      <c r="O852" s="2">
        <v>1</v>
      </c>
      <c r="P852" s="2" t="s">
        <v>24</v>
      </c>
    </row>
    <row r="853" spans="1:16" x14ac:dyDescent="0.25">
      <c r="A853" s="4">
        <v>45590</v>
      </c>
      <c r="B853" s="2" t="s">
        <v>1322</v>
      </c>
      <c r="C853" s="2" t="s">
        <v>194</v>
      </c>
      <c r="D853" t="s">
        <v>174</v>
      </c>
      <c r="E853" s="2" t="s">
        <v>60</v>
      </c>
      <c r="F853" s="2" t="s">
        <v>20</v>
      </c>
      <c r="G853" s="2" t="s">
        <v>42</v>
      </c>
      <c r="H853" s="2" t="s">
        <v>195</v>
      </c>
      <c r="I853" s="2">
        <v>1</v>
      </c>
      <c r="J853" s="2">
        <v>3004</v>
      </c>
      <c r="K853" s="2">
        <v>10</v>
      </c>
      <c r="L853" s="2">
        <v>300.39999999999998</v>
      </c>
      <c r="M853" s="2">
        <v>2703.6</v>
      </c>
      <c r="N853" s="2" t="s">
        <v>38</v>
      </c>
      <c r="O853" s="2">
        <v>3</v>
      </c>
      <c r="P853" s="2" t="s">
        <v>24</v>
      </c>
    </row>
    <row r="854" spans="1:16" x14ac:dyDescent="0.25">
      <c r="A854" s="4">
        <v>45591</v>
      </c>
      <c r="B854" s="2" t="s">
        <v>1323</v>
      </c>
      <c r="C854" s="2" t="s">
        <v>180</v>
      </c>
      <c r="D854" t="s">
        <v>53</v>
      </c>
      <c r="E854" s="2" t="s">
        <v>53</v>
      </c>
      <c r="F854" s="2" t="s">
        <v>28</v>
      </c>
      <c r="G854" s="2" t="s">
        <v>110</v>
      </c>
      <c r="H854" s="2" t="s">
        <v>317</v>
      </c>
      <c r="I854" s="2">
        <v>3</v>
      </c>
      <c r="J854" s="2">
        <v>1600</v>
      </c>
      <c r="K854" s="2">
        <v>15</v>
      </c>
      <c r="L854" s="2">
        <v>720</v>
      </c>
      <c r="M854" s="2">
        <v>4080</v>
      </c>
      <c r="N854" s="2" t="s">
        <v>23</v>
      </c>
      <c r="O854" s="2">
        <v>4</v>
      </c>
      <c r="P854" s="2" t="s">
        <v>24</v>
      </c>
    </row>
    <row r="855" spans="1:16" x14ac:dyDescent="0.25">
      <c r="A855" s="4">
        <v>45592</v>
      </c>
      <c r="B855" s="2" t="s">
        <v>1324</v>
      </c>
      <c r="C855" s="2" t="s">
        <v>618</v>
      </c>
      <c r="D855" t="s">
        <v>27</v>
      </c>
      <c r="E855" s="2" t="s">
        <v>19</v>
      </c>
      <c r="F855" s="2" t="s">
        <v>61</v>
      </c>
      <c r="G855" s="2" t="s">
        <v>150</v>
      </c>
      <c r="H855" s="2" t="s">
        <v>501</v>
      </c>
      <c r="I855" s="2">
        <v>1</v>
      </c>
      <c r="J855" s="2">
        <v>1297</v>
      </c>
      <c r="K855" s="2">
        <v>5</v>
      </c>
      <c r="L855" s="2">
        <v>64.849999999999994</v>
      </c>
      <c r="M855" s="2">
        <v>1232.1500000000001</v>
      </c>
      <c r="N855" s="2" t="s">
        <v>50</v>
      </c>
      <c r="O855" s="2">
        <v>2</v>
      </c>
      <c r="P855" s="2" t="s">
        <v>24</v>
      </c>
    </row>
    <row r="856" spans="1:16" x14ac:dyDescent="0.25">
      <c r="A856" s="4">
        <v>45593</v>
      </c>
      <c r="B856" s="2" t="s">
        <v>1325</v>
      </c>
      <c r="C856" s="2" t="s">
        <v>697</v>
      </c>
      <c r="D856" t="s">
        <v>47</v>
      </c>
      <c r="E856" s="2" t="s">
        <v>48</v>
      </c>
      <c r="F856" s="2" t="s">
        <v>71</v>
      </c>
      <c r="G856" s="2" t="s">
        <v>114</v>
      </c>
      <c r="H856" s="2" t="s">
        <v>115</v>
      </c>
      <c r="I856" s="2">
        <v>2</v>
      </c>
      <c r="J856" s="2">
        <v>945</v>
      </c>
      <c r="K856" s="2">
        <v>5</v>
      </c>
      <c r="L856" s="2">
        <v>94.5</v>
      </c>
      <c r="M856" s="2">
        <v>1795.5</v>
      </c>
      <c r="N856" s="2" t="s">
        <v>50</v>
      </c>
      <c r="O856" s="2">
        <v>3</v>
      </c>
      <c r="P856" s="2" t="s">
        <v>24</v>
      </c>
    </row>
    <row r="857" spans="1:16" x14ac:dyDescent="0.25">
      <c r="A857" s="4">
        <v>45594</v>
      </c>
      <c r="B857" s="2" t="s">
        <v>1326</v>
      </c>
      <c r="C857" s="2" t="s">
        <v>185</v>
      </c>
      <c r="D857" t="s">
        <v>27</v>
      </c>
      <c r="E857" s="2" t="s">
        <v>19</v>
      </c>
      <c r="F857" s="2" t="s">
        <v>61</v>
      </c>
      <c r="G857" s="2" t="s">
        <v>200</v>
      </c>
      <c r="H857" s="2" t="s">
        <v>331</v>
      </c>
      <c r="I857" s="2">
        <v>1</v>
      </c>
      <c r="J857" s="2">
        <v>1522</v>
      </c>
      <c r="K857" s="2">
        <v>10</v>
      </c>
      <c r="L857" s="2">
        <v>152.19999999999999</v>
      </c>
      <c r="M857" s="2">
        <v>1369.8</v>
      </c>
      <c r="N857" s="2" t="s">
        <v>23</v>
      </c>
      <c r="O857" s="2">
        <v>3</v>
      </c>
      <c r="P857" s="2" t="s">
        <v>24</v>
      </c>
    </row>
    <row r="858" spans="1:16" x14ac:dyDescent="0.25">
      <c r="A858" s="4">
        <v>45595</v>
      </c>
      <c r="B858" s="2" t="s">
        <v>1327</v>
      </c>
      <c r="C858" s="2" t="s">
        <v>670</v>
      </c>
      <c r="D858" t="s">
        <v>47</v>
      </c>
      <c r="E858" s="2" t="s">
        <v>48</v>
      </c>
      <c r="F858" s="2" t="s">
        <v>28</v>
      </c>
      <c r="G858" s="2" t="s">
        <v>110</v>
      </c>
      <c r="H858" s="2" t="s">
        <v>317</v>
      </c>
      <c r="I858" s="2">
        <v>1</v>
      </c>
      <c r="J858" s="2">
        <v>1996</v>
      </c>
      <c r="K858" s="2">
        <v>5</v>
      </c>
      <c r="L858" s="2">
        <v>99.8</v>
      </c>
      <c r="M858" s="2">
        <v>1896.2</v>
      </c>
      <c r="N858" s="2" t="s">
        <v>44</v>
      </c>
      <c r="O858" s="2">
        <v>5</v>
      </c>
      <c r="P858" s="2" t="s">
        <v>24</v>
      </c>
    </row>
    <row r="859" spans="1:16" x14ac:dyDescent="0.25">
      <c r="A859" s="4">
        <v>45596</v>
      </c>
      <c r="B859" s="2" t="s">
        <v>1328</v>
      </c>
      <c r="C859" s="2" t="s">
        <v>233</v>
      </c>
      <c r="D859" t="s">
        <v>18</v>
      </c>
      <c r="E859" s="2" t="s">
        <v>19</v>
      </c>
      <c r="F859" s="2" t="s">
        <v>20</v>
      </c>
      <c r="G859" s="2" t="s">
        <v>170</v>
      </c>
      <c r="H859" s="2" t="s">
        <v>469</v>
      </c>
      <c r="I859" s="2">
        <v>1</v>
      </c>
      <c r="J859" s="2">
        <v>5422</v>
      </c>
      <c r="K859" s="2">
        <v>15</v>
      </c>
      <c r="L859" s="2">
        <v>813.3</v>
      </c>
      <c r="M859" s="2">
        <v>4608.7</v>
      </c>
      <c r="N859" s="2" t="s">
        <v>44</v>
      </c>
      <c r="O859" s="2">
        <v>5</v>
      </c>
      <c r="P859" s="2" t="s">
        <v>24</v>
      </c>
    </row>
    <row r="860" spans="1:16" x14ac:dyDescent="0.25">
      <c r="A860" s="4">
        <v>45597</v>
      </c>
      <c r="B860" s="2" t="s">
        <v>1329</v>
      </c>
      <c r="C860" s="2" t="s">
        <v>796</v>
      </c>
      <c r="D860" t="s">
        <v>66</v>
      </c>
      <c r="E860" s="2" t="s">
        <v>19</v>
      </c>
      <c r="F860" s="2" t="s">
        <v>28</v>
      </c>
      <c r="G860" s="2" t="s">
        <v>188</v>
      </c>
      <c r="H860" s="2" t="s">
        <v>192</v>
      </c>
      <c r="I860" s="2">
        <v>2</v>
      </c>
      <c r="J860" s="2">
        <v>3427</v>
      </c>
      <c r="K860" s="2">
        <v>10</v>
      </c>
      <c r="L860" s="2">
        <v>685.4</v>
      </c>
      <c r="M860" s="2">
        <v>6168.6</v>
      </c>
      <c r="N860" s="2" t="s">
        <v>23</v>
      </c>
      <c r="O860" s="2">
        <v>4</v>
      </c>
      <c r="P860" s="2" t="s">
        <v>24</v>
      </c>
    </row>
    <row r="861" spans="1:16" x14ac:dyDescent="0.25">
      <c r="A861" s="4">
        <v>45598</v>
      </c>
      <c r="B861" s="2" t="s">
        <v>1330</v>
      </c>
      <c r="C861" s="2" t="s">
        <v>385</v>
      </c>
      <c r="D861" t="s">
        <v>33</v>
      </c>
      <c r="E861" s="2" t="s">
        <v>34</v>
      </c>
      <c r="F861" s="2" t="s">
        <v>35</v>
      </c>
      <c r="G861" s="2" t="s">
        <v>36</v>
      </c>
      <c r="H861" s="2" t="s">
        <v>37</v>
      </c>
      <c r="I861" s="2">
        <v>1</v>
      </c>
      <c r="J861" s="2">
        <v>36157</v>
      </c>
      <c r="K861" s="2">
        <v>10</v>
      </c>
      <c r="L861" s="2">
        <v>3615.7</v>
      </c>
      <c r="M861" s="2">
        <v>32541.3</v>
      </c>
      <c r="N861" s="2" t="s">
        <v>23</v>
      </c>
      <c r="O861" s="2">
        <v>4</v>
      </c>
      <c r="P861" s="2" t="s">
        <v>24</v>
      </c>
    </row>
    <row r="862" spans="1:16" x14ac:dyDescent="0.25">
      <c r="A862" s="4">
        <v>45599</v>
      </c>
      <c r="B862" s="2" t="s">
        <v>1331</v>
      </c>
      <c r="C862" s="2" t="s">
        <v>1010</v>
      </c>
      <c r="D862" t="s">
        <v>41</v>
      </c>
      <c r="E862" s="2" t="s">
        <v>19</v>
      </c>
      <c r="F862" s="2" t="s">
        <v>20</v>
      </c>
      <c r="G862" s="2" t="s">
        <v>42</v>
      </c>
      <c r="H862" s="2" t="s">
        <v>195</v>
      </c>
      <c r="I862" s="2">
        <v>3</v>
      </c>
      <c r="J862" s="2">
        <v>7162</v>
      </c>
      <c r="K862" s="2">
        <v>0</v>
      </c>
      <c r="L862" s="2">
        <v>0</v>
      </c>
      <c r="M862" s="2">
        <v>21486</v>
      </c>
      <c r="N862" s="2" t="s">
        <v>23</v>
      </c>
      <c r="O862" s="2">
        <v>3</v>
      </c>
      <c r="P862" s="2" t="s">
        <v>24</v>
      </c>
    </row>
    <row r="863" spans="1:16" x14ac:dyDescent="0.25">
      <c r="A863" s="4">
        <v>45600</v>
      </c>
      <c r="B863" s="2" t="s">
        <v>1332</v>
      </c>
      <c r="C863" s="2" t="s">
        <v>299</v>
      </c>
      <c r="D863" t="s">
        <v>33</v>
      </c>
      <c r="E863" s="2" t="s">
        <v>34</v>
      </c>
      <c r="F863" s="2" t="s">
        <v>28</v>
      </c>
      <c r="G863" s="2" t="s">
        <v>188</v>
      </c>
      <c r="H863" s="2" t="s">
        <v>206</v>
      </c>
      <c r="I863" s="2">
        <v>1</v>
      </c>
      <c r="J863" s="2">
        <v>4540</v>
      </c>
      <c r="K863" s="2">
        <v>10</v>
      </c>
      <c r="L863" s="2">
        <v>454</v>
      </c>
      <c r="M863" s="2">
        <v>4086</v>
      </c>
      <c r="N863" s="2" t="s">
        <v>44</v>
      </c>
      <c r="O863" s="2">
        <v>2</v>
      </c>
      <c r="P863" s="2" t="s">
        <v>24</v>
      </c>
    </row>
    <row r="864" spans="1:16" x14ac:dyDescent="0.25">
      <c r="A864" s="4">
        <v>45601</v>
      </c>
      <c r="B864" s="2" t="s">
        <v>1333</v>
      </c>
      <c r="C864" s="2" t="s">
        <v>537</v>
      </c>
      <c r="D864" t="s">
        <v>47</v>
      </c>
      <c r="E864" s="2" t="s">
        <v>48</v>
      </c>
      <c r="F864" s="2" t="s">
        <v>61</v>
      </c>
      <c r="G864" s="2" t="s">
        <v>250</v>
      </c>
      <c r="H864" s="2" t="s">
        <v>366</v>
      </c>
      <c r="I864" s="2">
        <v>1</v>
      </c>
      <c r="J864" s="2">
        <v>335</v>
      </c>
      <c r="K864" s="2">
        <v>10</v>
      </c>
      <c r="L864" s="2">
        <v>33.5</v>
      </c>
      <c r="M864" s="2">
        <v>301.5</v>
      </c>
      <c r="N864" s="2" t="s">
        <v>23</v>
      </c>
      <c r="O864" s="2">
        <v>3</v>
      </c>
      <c r="P864" s="2" t="s">
        <v>24</v>
      </c>
    </row>
    <row r="865" spans="1:16" x14ac:dyDescent="0.25">
      <c r="A865" s="4">
        <v>45602</v>
      </c>
      <c r="B865" s="2" t="s">
        <v>1334</v>
      </c>
      <c r="C865" s="2" t="s">
        <v>1010</v>
      </c>
      <c r="D865" t="s">
        <v>18</v>
      </c>
      <c r="E865" s="2" t="s">
        <v>19</v>
      </c>
      <c r="F865" s="2" t="s">
        <v>28</v>
      </c>
      <c r="G865" s="2" t="s">
        <v>289</v>
      </c>
      <c r="H865" s="2" t="s">
        <v>554</v>
      </c>
      <c r="I865" s="2">
        <v>1</v>
      </c>
      <c r="J865" s="2">
        <v>2921</v>
      </c>
      <c r="K865" s="2">
        <v>15</v>
      </c>
      <c r="L865" s="2">
        <v>438.15</v>
      </c>
      <c r="M865" s="2">
        <v>2482.85</v>
      </c>
      <c r="N865" s="2" t="s">
        <v>44</v>
      </c>
      <c r="O865" s="2">
        <v>4</v>
      </c>
      <c r="P865" s="2" t="s">
        <v>24</v>
      </c>
    </row>
    <row r="866" spans="1:16" x14ac:dyDescent="0.25">
      <c r="A866" s="4">
        <v>45603</v>
      </c>
      <c r="B866" s="2" t="s">
        <v>1335</v>
      </c>
      <c r="C866" s="2" t="s">
        <v>790</v>
      </c>
      <c r="D866" t="s">
        <v>59</v>
      </c>
      <c r="E866" s="2" t="s">
        <v>60</v>
      </c>
      <c r="F866" s="2" t="s">
        <v>20</v>
      </c>
      <c r="G866" s="2" t="s">
        <v>21</v>
      </c>
      <c r="H866" s="2" t="s">
        <v>49</v>
      </c>
      <c r="I866" s="2">
        <v>1</v>
      </c>
      <c r="J866" s="2">
        <v>2151</v>
      </c>
      <c r="K866" s="2">
        <v>0</v>
      </c>
      <c r="L866" s="2">
        <v>0</v>
      </c>
      <c r="M866" s="2">
        <v>2151</v>
      </c>
      <c r="N866" s="2" t="s">
        <v>23</v>
      </c>
      <c r="O866" s="2">
        <v>5</v>
      </c>
      <c r="P866" s="2" t="s">
        <v>24</v>
      </c>
    </row>
    <row r="867" spans="1:16" x14ac:dyDescent="0.25">
      <c r="A867" s="4">
        <v>45604</v>
      </c>
      <c r="B867" s="2" t="s">
        <v>1336</v>
      </c>
      <c r="C867" s="2" t="s">
        <v>123</v>
      </c>
      <c r="D867" t="s">
        <v>33</v>
      </c>
      <c r="E867" s="2" t="s">
        <v>34</v>
      </c>
      <c r="F867" s="2" t="s">
        <v>61</v>
      </c>
      <c r="G867" s="2" t="s">
        <v>200</v>
      </c>
      <c r="H867" s="2" t="s">
        <v>473</v>
      </c>
      <c r="I867" s="2">
        <v>1</v>
      </c>
      <c r="J867" s="2">
        <v>1442</v>
      </c>
      <c r="K867" s="2">
        <v>15</v>
      </c>
      <c r="L867" s="2">
        <v>216.3</v>
      </c>
      <c r="M867" s="2">
        <v>1225.7</v>
      </c>
      <c r="N867" s="2" t="s">
        <v>23</v>
      </c>
      <c r="O867" s="2">
        <v>4</v>
      </c>
      <c r="P867" s="2" t="s">
        <v>24</v>
      </c>
    </row>
    <row r="868" spans="1:16" x14ac:dyDescent="0.25">
      <c r="A868" s="4">
        <v>45605</v>
      </c>
      <c r="B868" s="2" t="s">
        <v>1337</v>
      </c>
      <c r="C868" s="2" t="s">
        <v>242</v>
      </c>
      <c r="D868" t="s">
        <v>27</v>
      </c>
      <c r="E868" s="2" t="s">
        <v>19</v>
      </c>
      <c r="F868" s="2" t="s">
        <v>71</v>
      </c>
      <c r="G868" s="2" t="s">
        <v>76</v>
      </c>
      <c r="H868" s="2" t="s">
        <v>181</v>
      </c>
      <c r="I868" s="2">
        <v>1</v>
      </c>
      <c r="J868" s="2">
        <v>1081</v>
      </c>
      <c r="K868" s="2">
        <v>5</v>
      </c>
      <c r="L868" s="2">
        <v>54.05</v>
      </c>
      <c r="M868" s="2">
        <v>1026.95</v>
      </c>
      <c r="N868" s="2" t="s">
        <v>44</v>
      </c>
      <c r="O868" s="2">
        <v>5</v>
      </c>
      <c r="P868" s="2" t="s">
        <v>24</v>
      </c>
    </row>
    <row r="869" spans="1:16" x14ac:dyDescent="0.25">
      <c r="A869" s="4">
        <v>45606</v>
      </c>
      <c r="B869" s="2" t="s">
        <v>1338</v>
      </c>
      <c r="C869" s="2" t="s">
        <v>557</v>
      </c>
      <c r="D869" t="s">
        <v>53</v>
      </c>
      <c r="E869" s="2" t="s">
        <v>53</v>
      </c>
      <c r="F869" s="2" t="s">
        <v>61</v>
      </c>
      <c r="G869" s="2" t="s">
        <v>200</v>
      </c>
      <c r="H869" s="2" t="s">
        <v>587</v>
      </c>
      <c r="I869" s="2">
        <v>3</v>
      </c>
      <c r="J869" s="2">
        <v>436</v>
      </c>
      <c r="K869" s="2">
        <v>5</v>
      </c>
      <c r="L869" s="2">
        <v>65.400000000000006</v>
      </c>
      <c r="M869" s="2">
        <v>1242.5999999999999</v>
      </c>
      <c r="N869" s="2" t="s">
        <v>50</v>
      </c>
      <c r="O869" s="2">
        <v>2</v>
      </c>
      <c r="P869" s="2" t="s">
        <v>24</v>
      </c>
    </row>
    <row r="870" spans="1:16" x14ac:dyDescent="0.25">
      <c r="A870" s="4">
        <v>45607</v>
      </c>
      <c r="B870" s="2" t="s">
        <v>1339</v>
      </c>
      <c r="C870" s="2" t="s">
        <v>578</v>
      </c>
      <c r="D870" t="s">
        <v>47</v>
      </c>
      <c r="E870" s="2" t="s">
        <v>48</v>
      </c>
      <c r="F870" s="2" t="s">
        <v>35</v>
      </c>
      <c r="G870" s="2" t="s">
        <v>130</v>
      </c>
      <c r="H870" s="2" t="s">
        <v>247</v>
      </c>
      <c r="I870" s="2">
        <v>1</v>
      </c>
      <c r="J870" s="2">
        <v>31662</v>
      </c>
      <c r="K870" s="2">
        <v>0</v>
      </c>
      <c r="L870" s="2">
        <v>0</v>
      </c>
      <c r="M870" s="2">
        <v>31662</v>
      </c>
      <c r="N870" s="2" t="s">
        <v>50</v>
      </c>
      <c r="O870" s="2">
        <v>2</v>
      </c>
      <c r="P870" s="2" t="s">
        <v>24</v>
      </c>
    </row>
    <row r="871" spans="1:16" x14ac:dyDescent="0.25">
      <c r="A871" s="4">
        <v>45608</v>
      </c>
      <c r="B871" s="2" t="s">
        <v>1340</v>
      </c>
      <c r="C871" s="2" t="s">
        <v>1341</v>
      </c>
      <c r="D871" t="s">
        <v>18</v>
      </c>
      <c r="E871" s="2" t="s">
        <v>19</v>
      </c>
      <c r="F871" s="2" t="s">
        <v>61</v>
      </c>
      <c r="G871" s="2" t="s">
        <v>250</v>
      </c>
      <c r="H871" s="2" t="s">
        <v>591</v>
      </c>
      <c r="I871" s="2">
        <v>1</v>
      </c>
      <c r="J871" s="2">
        <v>1858</v>
      </c>
      <c r="K871" s="2">
        <v>0</v>
      </c>
      <c r="L871" s="2">
        <v>0</v>
      </c>
      <c r="M871" s="2">
        <v>1858</v>
      </c>
      <c r="N871" s="2" t="s">
        <v>50</v>
      </c>
      <c r="O871" s="2">
        <v>2</v>
      </c>
      <c r="P871" s="2" t="s">
        <v>24</v>
      </c>
    </row>
    <row r="872" spans="1:16" x14ac:dyDescent="0.25">
      <c r="A872" s="4">
        <v>45609</v>
      </c>
      <c r="B872" s="2" t="s">
        <v>1342</v>
      </c>
      <c r="C872" s="2" t="s">
        <v>708</v>
      </c>
      <c r="D872" t="s">
        <v>84</v>
      </c>
      <c r="E872" s="2" t="s">
        <v>85</v>
      </c>
      <c r="F872" s="2" t="s">
        <v>35</v>
      </c>
      <c r="G872" s="2" t="s">
        <v>80</v>
      </c>
      <c r="H872" s="2" t="s">
        <v>81</v>
      </c>
      <c r="I872" s="2">
        <v>1</v>
      </c>
      <c r="J872" s="2">
        <v>28411</v>
      </c>
      <c r="K872" s="2">
        <v>0</v>
      </c>
      <c r="L872" s="2">
        <v>0</v>
      </c>
      <c r="M872" s="2">
        <v>28411</v>
      </c>
      <c r="N872" s="2" t="s">
        <v>50</v>
      </c>
      <c r="O872" s="2">
        <v>4</v>
      </c>
      <c r="P872" s="2" t="s">
        <v>24</v>
      </c>
    </row>
    <row r="873" spans="1:16" x14ac:dyDescent="0.25">
      <c r="A873" s="4">
        <v>45610</v>
      </c>
      <c r="B873" s="2" t="s">
        <v>1343</v>
      </c>
      <c r="C873" s="2" t="s">
        <v>625</v>
      </c>
      <c r="D873" t="s">
        <v>53</v>
      </c>
      <c r="E873" s="2" t="s">
        <v>53</v>
      </c>
      <c r="F873" s="2" t="s">
        <v>71</v>
      </c>
      <c r="G873" s="2" t="s">
        <v>76</v>
      </c>
      <c r="H873" s="2" t="s">
        <v>77</v>
      </c>
      <c r="I873" s="2">
        <v>1</v>
      </c>
      <c r="J873" s="2">
        <v>339</v>
      </c>
      <c r="K873" s="2">
        <v>15</v>
      </c>
      <c r="L873" s="2">
        <v>50.85</v>
      </c>
      <c r="M873" s="2">
        <v>288.14999999999998</v>
      </c>
      <c r="N873" s="2" t="s">
        <v>50</v>
      </c>
      <c r="O873" s="2">
        <v>2</v>
      </c>
      <c r="P873" s="2" t="s">
        <v>24</v>
      </c>
    </row>
    <row r="874" spans="1:16" x14ac:dyDescent="0.25">
      <c r="A874" s="4">
        <v>45611</v>
      </c>
      <c r="B874" s="2" t="s">
        <v>1344</v>
      </c>
      <c r="C874" s="2" t="s">
        <v>288</v>
      </c>
      <c r="D874" t="s">
        <v>53</v>
      </c>
      <c r="E874" s="2" t="s">
        <v>53</v>
      </c>
      <c r="F874" s="2" t="s">
        <v>28</v>
      </c>
      <c r="G874" s="2" t="s">
        <v>289</v>
      </c>
      <c r="H874" s="2" t="s">
        <v>300</v>
      </c>
      <c r="I874" s="2">
        <v>1</v>
      </c>
      <c r="J874" s="2">
        <v>2065</v>
      </c>
      <c r="K874" s="2">
        <v>0</v>
      </c>
      <c r="L874" s="2">
        <v>0</v>
      </c>
      <c r="M874" s="2">
        <v>2065</v>
      </c>
      <c r="N874" s="2" t="s">
        <v>56</v>
      </c>
      <c r="O874" s="2">
        <v>3</v>
      </c>
      <c r="P874" s="2" t="s">
        <v>24</v>
      </c>
    </row>
    <row r="875" spans="1:16" x14ac:dyDescent="0.25">
      <c r="A875" s="4">
        <v>45612</v>
      </c>
      <c r="B875" s="2" t="s">
        <v>1345</v>
      </c>
      <c r="C875" s="2" t="s">
        <v>622</v>
      </c>
      <c r="D875" t="s">
        <v>174</v>
      </c>
      <c r="E875" s="2" t="s">
        <v>60</v>
      </c>
      <c r="F875" s="2" t="s">
        <v>20</v>
      </c>
      <c r="G875" s="2" t="s">
        <v>54</v>
      </c>
      <c r="H875" s="2" t="s">
        <v>269</v>
      </c>
      <c r="I875" s="2">
        <v>1</v>
      </c>
      <c r="J875" s="2">
        <v>7777</v>
      </c>
      <c r="K875" s="2">
        <v>5</v>
      </c>
      <c r="L875" s="2">
        <v>388.85</v>
      </c>
      <c r="M875" s="2">
        <v>7388.15</v>
      </c>
      <c r="N875" s="2" t="s">
        <v>50</v>
      </c>
      <c r="O875" s="2">
        <v>2</v>
      </c>
      <c r="P875" s="2" t="s">
        <v>24</v>
      </c>
    </row>
    <row r="876" spans="1:16" x14ac:dyDescent="0.25">
      <c r="A876" s="4">
        <v>45613</v>
      </c>
      <c r="B876" s="2" t="s">
        <v>1346</v>
      </c>
      <c r="C876" s="2" t="s">
        <v>1347</v>
      </c>
      <c r="D876" t="s">
        <v>174</v>
      </c>
      <c r="E876" s="2" t="s">
        <v>60</v>
      </c>
      <c r="F876" s="2" t="s">
        <v>20</v>
      </c>
      <c r="G876" s="2" t="s">
        <v>21</v>
      </c>
      <c r="H876" s="2" t="s">
        <v>121</v>
      </c>
      <c r="I876" s="2">
        <v>2</v>
      </c>
      <c r="J876" s="2">
        <v>5190</v>
      </c>
      <c r="K876" s="2">
        <v>0</v>
      </c>
      <c r="L876" s="2">
        <v>0</v>
      </c>
      <c r="M876" s="2">
        <v>10380</v>
      </c>
      <c r="N876" s="2" t="s">
        <v>50</v>
      </c>
      <c r="O876" s="2">
        <v>3</v>
      </c>
      <c r="P876" s="2" t="s">
        <v>24</v>
      </c>
    </row>
    <row r="877" spans="1:16" x14ac:dyDescent="0.25">
      <c r="A877" s="4">
        <v>45614</v>
      </c>
      <c r="B877" s="2" t="s">
        <v>1348</v>
      </c>
      <c r="C877" s="2" t="s">
        <v>26</v>
      </c>
      <c r="D877" t="s">
        <v>53</v>
      </c>
      <c r="E877" s="2" t="s">
        <v>53</v>
      </c>
      <c r="F877" s="2" t="s">
        <v>71</v>
      </c>
      <c r="G877" s="2" t="s">
        <v>76</v>
      </c>
      <c r="H877" s="2" t="s">
        <v>77</v>
      </c>
      <c r="I877" s="2">
        <v>1</v>
      </c>
      <c r="J877" s="2">
        <v>1300</v>
      </c>
      <c r="K877" s="2">
        <v>5</v>
      </c>
      <c r="L877" s="2">
        <v>65</v>
      </c>
      <c r="M877" s="2">
        <v>1235</v>
      </c>
      <c r="N877" s="2" t="s">
        <v>50</v>
      </c>
      <c r="O877" s="2">
        <v>1</v>
      </c>
      <c r="P877" s="2" t="s">
        <v>24</v>
      </c>
    </row>
    <row r="878" spans="1:16" x14ac:dyDescent="0.25">
      <c r="A878" s="4">
        <v>45615</v>
      </c>
      <c r="B878" s="2" t="s">
        <v>1349</v>
      </c>
      <c r="C878" s="2" t="s">
        <v>618</v>
      </c>
      <c r="D878" t="s">
        <v>66</v>
      </c>
      <c r="E878" s="2" t="s">
        <v>19</v>
      </c>
      <c r="F878" s="2" t="s">
        <v>28</v>
      </c>
      <c r="G878" s="2" t="s">
        <v>110</v>
      </c>
      <c r="H878" s="2" t="s">
        <v>317</v>
      </c>
      <c r="I878" s="2">
        <v>1</v>
      </c>
      <c r="J878" s="2">
        <v>3181</v>
      </c>
      <c r="K878" s="2">
        <v>5</v>
      </c>
      <c r="L878" s="2">
        <v>159.05000000000001</v>
      </c>
      <c r="M878" s="2">
        <v>3021.95</v>
      </c>
      <c r="N878" s="2" t="s">
        <v>23</v>
      </c>
      <c r="O878" s="2">
        <v>2</v>
      </c>
      <c r="P878" s="2" t="s">
        <v>24</v>
      </c>
    </row>
    <row r="879" spans="1:16" x14ac:dyDescent="0.25">
      <c r="A879" s="4">
        <v>45616</v>
      </c>
      <c r="B879" s="2" t="s">
        <v>1350</v>
      </c>
      <c r="C879" s="2" t="s">
        <v>578</v>
      </c>
      <c r="D879" t="s">
        <v>84</v>
      </c>
      <c r="E879" s="2" t="s">
        <v>85</v>
      </c>
      <c r="F879" s="2" t="s">
        <v>61</v>
      </c>
      <c r="G879" s="2" t="s">
        <v>62</v>
      </c>
      <c r="H879" s="2" t="s">
        <v>156</v>
      </c>
      <c r="I879" s="2">
        <v>1</v>
      </c>
      <c r="J879" s="2">
        <v>1801</v>
      </c>
      <c r="K879" s="2">
        <v>5</v>
      </c>
      <c r="L879" s="2">
        <v>90.05</v>
      </c>
      <c r="M879" s="2">
        <v>1710.95</v>
      </c>
      <c r="N879" s="2" t="s">
        <v>44</v>
      </c>
      <c r="O879" s="2">
        <v>4</v>
      </c>
      <c r="P879" s="2" t="s">
        <v>24</v>
      </c>
    </row>
    <row r="880" spans="1:16" x14ac:dyDescent="0.25">
      <c r="A880" s="4">
        <v>45617</v>
      </c>
      <c r="B880" s="2" t="s">
        <v>1351</v>
      </c>
      <c r="C880" s="2" t="s">
        <v>658</v>
      </c>
      <c r="D880" t="s">
        <v>47</v>
      </c>
      <c r="E880" s="2" t="s">
        <v>48</v>
      </c>
      <c r="F880" s="2" t="s">
        <v>28</v>
      </c>
      <c r="G880" s="2" t="s">
        <v>29</v>
      </c>
      <c r="H880" s="2" t="s">
        <v>477</v>
      </c>
      <c r="I880" s="2">
        <v>1</v>
      </c>
      <c r="J880" s="2">
        <v>494</v>
      </c>
      <c r="K880" s="2">
        <v>5</v>
      </c>
      <c r="L880" s="2">
        <v>24.7</v>
      </c>
      <c r="M880" s="2">
        <v>469.3</v>
      </c>
      <c r="N880" s="2" t="s">
        <v>44</v>
      </c>
      <c r="O880" s="2">
        <v>3</v>
      </c>
      <c r="P880" s="2" t="s">
        <v>24</v>
      </c>
    </row>
    <row r="881" spans="1:16" x14ac:dyDescent="0.25">
      <c r="A881" s="4">
        <v>45618</v>
      </c>
      <c r="B881" s="2" t="s">
        <v>1352</v>
      </c>
      <c r="C881" s="2" t="s">
        <v>813</v>
      </c>
      <c r="D881" t="s">
        <v>41</v>
      </c>
      <c r="E881" s="2" t="s">
        <v>19</v>
      </c>
      <c r="F881" s="2" t="s">
        <v>61</v>
      </c>
      <c r="G881" s="2" t="s">
        <v>250</v>
      </c>
      <c r="H881" s="2" t="s">
        <v>256</v>
      </c>
      <c r="I881" s="2">
        <v>2</v>
      </c>
      <c r="J881" s="2">
        <v>378</v>
      </c>
      <c r="K881" s="2">
        <v>20</v>
      </c>
      <c r="L881" s="2">
        <v>151.19999999999999</v>
      </c>
      <c r="M881" s="2">
        <v>604.79999999999995</v>
      </c>
      <c r="N881" s="2" t="s">
        <v>50</v>
      </c>
      <c r="O881" s="2">
        <v>2</v>
      </c>
      <c r="P881" s="2" t="s">
        <v>24</v>
      </c>
    </row>
    <row r="882" spans="1:16" x14ac:dyDescent="0.25">
      <c r="A882" s="4">
        <v>45619</v>
      </c>
      <c r="B882" s="2" t="s">
        <v>1353</v>
      </c>
      <c r="C882" s="2" t="s">
        <v>249</v>
      </c>
      <c r="D882" t="s">
        <v>174</v>
      </c>
      <c r="E882" s="2" t="s">
        <v>60</v>
      </c>
      <c r="F882" s="2" t="s">
        <v>35</v>
      </c>
      <c r="G882" s="2" t="s">
        <v>130</v>
      </c>
      <c r="H882" s="2" t="s">
        <v>131</v>
      </c>
      <c r="I882" s="2">
        <v>1</v>
      </c>
      <c r="J882" s="2">
        <v>34244</v>
      </c>
      <c r="K882" s="2">
        <v>0</v>
      </c>
      <c r="L882" s="2">
        <v>0</v>
      </c>
      <c r="M882" s="2">
        <v>34244</v>
      </c>
      <c r="N882" s="2" t="s">
        <v>23</v>
      </c>
      <c r="O882" s="2">
        <v>2</v>
      </c>
      <c r="P882" s="2" t="s">
        <v>24</v>
      </c>
    </row>
    <row r="883" spans="1:16" x14ac:dyDescent="0.25">
      <c r="A883" s="4">
        <v>45620</v>
      </c>
      <c r="B883" s="2" t="s">
        <v>1354</v>
      </c>
      <c r="C883" s="2" t="s">
        <v>280</v>
      </c>
      <c r="D883" t="s">
        <v>41</v>
      </c>
      <c r="E883" s="2" t="s">
        <v>19</v>
      </c>
      <c r="F883" s="2" t="s">
        <v>20</v>
      </c>
      <c r="G883" s="2" t="s">
        <v>139</v>
      </c>
      <c r="H883" s="2" t="s">
        <v>327</v>
      </c>
      <c r="I883" s="2">
        <v>1</v>
      </c>
      <c r="J883" s="2">
        <v>4746</v>
      </c>
      <c r="K883" s="2">
        <v>0</v>
      </c>
      <c r="L883" s="2">
        <v>0</v>
      </c>
      <c r="M883" s="2">
        <v>4746</v>
      </c>
      <c r="N883" s="2" t="s">
        <v>50</v>
      </c>
      <c r="O883" s="2">
        <v>2</v>
      </c>
      <c r="P883" s="2" t="s">
        <v>24</v>
      </c>
    </row>
    <row r="884" spans="1:16" x14ac:dyDescent="0.25">
      <c r="A884" s="4">
        <v>45621</v>
      </c>
      <c r="B884" s="2" t="s">
        <v>1355</v>
      </c>
      <c r="C884" s="2" t="s">
        <v>17</v>
      </c>
      <c r="D884" t="s">
        <v>47</v>
      </c>
      <c r="E884" s="2" t="s">
        <v>48</v>
      </c>
      <c r="F884" s="2" t="s">
        <v>35</v>
      </c>
      <c r="G884" s="2" t="s">
        <v>124</v>
      </c>
      <c r="H884" s="2" t="s">
        <v>142</v>
      </c>
      <c r="I884" s="2">
        <v>1</v>
      </c>
      <c r="J884" s="2">
        <v>6008</v>
      </c>
      <c r="K884" s="2">
        <v>10</v>
      </c>
      <c r="L884" s="2">
        <v>600.79999999999995</v>
      </c>
      <c r="M884" s="2">
        <v>5407.2</v>
      </c>
      <c r="N884" s="2" t="s">
        <v>50</v>
      </c>
      <c r="O884" s="2">
        <v>2</v>
      </c>
      <c r="P884" s="2" t="s">
        <v>24</v>
      </c>
    </row>
    <row r="885" spans="1:16" x14ac:dyDescent="0.25">
      <c r="A885" s="4">
        <v>45622</v>
      </c>
      <c r="B885" s="2" t="s">
        <v>1356</v>
      </c>
      <c r="C885" s="2" t="s">
        <v>1357</v>
      </c>
      <c r="D885" t="s">
        <v>27</v>
      </c>
      <c r="E885" s="2" t="s">
        <v>19</v>
      </c>
      <c r="F885" s="2" t="s">
        <v>71</v>
      </c>
      <c r="G885" s="2" t="s">
        <v>106</v>
      </c>
      <c r="H885" s="2" t="s">
        <v>346</v>
      </c>
      <c r="I885" s="2">
        <v>1</v>
      </c>
      <c r="J885" s="2">
        <v>1356</v>
      </c>
      <c r="K885" s="2">
        <v>15</v>
      </c>
      <c r="L885" s="2">
        <v>203.4</v>
      </c>
      <c r="M885" s="2">
        <v>1152.5999999999999</v>
      </c>
      <c r="N885" s="2" t="s">
        <v>23</v>
      </c>
      <c r="O885" s="2">
        <v>3</v>
      </c>
      <c r="P885" s="2" t="s">
        <v>24</v>
      </c>
    </row>
    <row r="886" spans="1:16" x14ac:dyDescent="0.25">
      <c r="A886" s="4">
        <v>45623</v>
      </c>
      <c r="B886" s="2" t="s">
        <v>1358</v>
      </c>
      <c r="C886" s="2" t="s">
        <v>32</v>
      </c>
      <c r="D886" t="s">
        <v>84</v>
      </c>
      <c r="E886" s="2" t="s">
        <v>85</v>
      </c>
      <c r="F886" s="2" t="s">
        <v>61</v>
      </c>
      <c r="G886" s="2" t="s">
        <v>150</v>
      </c>
      <c r="H886" s="2" t="s">
        <v>209</v>
      </c>
      <c r="I886" s="2">
        <v>1</v>
      </c>
      <c r="J886" s="2">
        <v>1037</v>
      </c>
      <c r="K886" s="2">
        <v>10</v>
      </c>
      <c r="L886" s="2">
        <v>103.7</v>
      </c>
      <c r="M886" s="2">
        <v>933.3</v>
      </c>
      <c r="N886" s="2" t="s">
        <v>56</v>
      </c>
      <c r="O886" s="2">
        <v>5</v>
      </c>
      <c r="P886" s="2" t="s">
        <v>24</v>
      </c>
    </row>
    <row r="887" spans="1:16" x14ac:dyDescent="0.25">
      <c r="A887" s="4">
        <v>45624</v>
      </c>
      <c r="B887" s="2" t="s">
        <v>1359</v>
      </c>
      <c r="C887" s="2" t="s">
        <v>873</v>
      </c>
      <c r="D887" t="s">
        <v>27</v>
      </c>
      <c r="E887" s="2" t="s">
        <v>19</v>
      </c>
      <c r="F887" s="2" t="s">
        <v>28</v>
      </c>
      <c r="G887" s="2" t="s">
        <v>110</v>
      </c>
      <c r="H887" s="2" t="s">
        <v>956</v>
      </c>
      <c r="I887" s="2">
        <v>1</v>
      </c>
      <c r="J887" s="2">
        <v>3979</v>
      </c>
      <c r="K887" s="2">
        <v>10</v>
      </c>
      <c r="L887" s="2">
        <v>397.9</v>
      </c>
      <c r="M887" s="2">
        <v>3581.1</v>
      </c>
      <c r="N887" s="2" t="s">
        <v>23</v>
      </c>
      <c r="O887" s="2">
        <v>3</v>
      </c>
      <c r="P887" s="2" t="s">
        <v>24</v>
      </c>
    </row>
    <row r="888" spans="1:16" x14ac:dyDescent="0.25">
      <c r="A888" s="4">
        <v>45625</v>
      </c>
      <c r="B888" s="2" t="s">
        <v>1360</v>
      </c>
      <c r="C888" s="2" t="s">
        <v>481</v>
      </c>
      <c r="D888" t="s">
        <v>174</v>
      </c>
      <c r="E888" s="2" t="s">
        <v>60</v>
      </c>
      <c r="F888" s="2" t="s">
        <v>20</v>
      </c>
      <c r="G888" s="2" t="s">
        <v>139</v>
      </c>
      <c r="H888" s="2" t="s">
        <v>140</v>
      </c>
      <c r="I888" s="2">
        <v>1</v>
      </c>
      <c r="J888" s="2">
        <v>5683</v>
      </c>
      <c r="K888" s="2">
        <v>0</v>
      </c>
      <c r="L888" s="2">
        <v>0</v>
      </c>
      <c r="M888" s="2">
        <v>5683</v>
      </c>
      <c r="N888" s="2" t="s">
        <v>56</v>
      </c>
      <c r="O888" s="2">
        <v>5</v>
      </c>
      <c r="P888" s="2" t="s">
        <v>24</v>
      </c>
    </row>
    <row r="889" spans="1:16" x14ac:dyDescent="0.25">
      <c r="A889" s="4">
        <v>45626</v>
      </c>
      <c r="B889" s="2" t="s">
        <v>1361</v>
      </c>
      <c r="C889" s="2" t="s">
        <v>726</v>
      </c>
      <c r="D889" t="s">
        <v>53</v>
      </c>
      <c r="E889" s="2" t="s">
        <v>53</v>
      </c>
      <c r="F889" s="2" t="s">
        <v>28</v>
      </c>
      <c r="G889" s="2" t="s">
        <v>110</v>
      </c>
      <c r="H889" s="2" t="s">
        <v>956</v>
      </c>
      <c r="I889" s="2">
        <v>1</v>
      </c>
      <c r="J889" s="2">
        <v>4173</v>
      </c>
      <c r="K889" s="2">
        <v>5</v>
      </c>
      <c r="L889" s="2">
        <v>208.65</v>
      </c>
      <c r="M889" s="2">
        <v>3964.35</v>
      </c>
      <c r="N889" s="2" t="s">
        <v>50</v>
      </c>
      <c r="O889" s="2">
        <v>2</v>
      </c>
      <c r="P889" s="2" t="s">
        <v>24</v>
      </c>
    </row>
    <row r="890" spans="1:16" x14ac:dyDescent="0.25">
      <c r="A890" s="4">
        <v>45627</v>
      </c>
      <c r="B890" s="2" t="s">
        <v>1362</v>
      </c>
      <c r="C890" s="2" t="s">
        <v>662</v>
      </c>
      <c r="D890" t="s">
        <v>47</v>
      </c>
      <c r="E890" s="2" t="s">
        <v>48</v>
      </c>
      <c r="F890" s="2" t="s">
        <v>20</v>
      </c>
      <c r="G890" s="2" t="s">
        <v>139</v>
      </c>
      <c r="H890" s="2" t="s">
        <v>727</v>
      </c>
      <c r="I890" s="2">
        <v>2</v>
      </c>
      <c r="J890" s="2">
        <v>7298</v>
      </c>
      <c r="K890" s="2">
        <v>0</v>
      </c>
      <c r="L890" s="2">
        <v>0</v>
      </c>
      <c r="M890" s="2">
        <v>14596</v>
      </c>
      <c r="N890" s="2" t="s">
        <v>56</v>
      </c>
      <c r="O890" s="2">
        <v>3</v>
      </c>
      <c r="P890" s="2" t="s">
        <v>24</v>
      </c>
    </row>
    <row r="891" spans="1:16" x14ac:dyDescent="0.25">
      <c r="A891" s="4">
        <v>45628</v>
      </c>
      <c r="B891" s="2" t="s">
        <v>1363</v>
      </c>
      <c r="C891" s="2" t="s">
        <v>1364</v>
      </c>
      <c r="D891" t="s">
        <v>33</v>
      </c>
      <c r="E891" s="2" t="s">
        <v>34</v>
      </c>
      <c r="F891" s="2" t="s">
        <v>61</v>
      </c>
      <c r="G891" s="2" t="s">
        <v>250</v>
      </c>
      <c r="H891" s="2" t="s">
        <v>256</v>
      </c>
      <c r="I891" s="2">
        <v>1</v>
      </c>
      <c r="J891" s="2">
        <v>747</v>
      </c>
      <c r="K891" s="2">
        <v>5</v>
      </c>
      <c r="L891" s="2">
        <v>37.35</v>
      </c>
      <c r="M891" s="2">
        <v>709.65</v>
      </c>
      <c r="N891" s="2" t="s">
        <v>50</v>
      </c>
      <c r="O891" s="2">
        <v>2</v>
      </c>
      <c r="P891" s="2" t="s">
        <v>24</v>
      </c>
    </row>
    <row r="892" spans="1:16" x14ac:dyDescent="0.25">
      <c r="A892" s="4">
        <v>45629</v>
      </c>
      <c r="B892" s="2" t="s">
        <v>1365</v>
      </c>
      <c r="C892" s="2" t="s">
        <v>575</v>
      </c>
      <c r="D892" t="s">
        <v>41</v>
      </c>
      <c r="E892" s="2" t="s">
        <v>19</v>
      </c>
      <c r="F892" s="2" t="s">
        <v>20</v>
      </c>
      <c r="G892" s="2" t="s">
        <v>42</v>
      </c>
      <c r="H892" s="2" t="s">
        <v>133</v>
      </c>
      <c r="I892" s="2">
        <v>1</v>
      </c>
      <c r="J892" s="2">
        <v>4858</v>
      </c>
      <c r="K892" s="2">
        <v>20</v>
      </c>
      <c r="L892" s="2">
        <v>971.6</v>
      </c>
      <c r="M892" s="2">
        <v>3886.4</v>
      </c>
      <c r="N892" s="2" t="s">
        <v>50</v>
      </c>
      <c r="O892" s="2">
        <v>3</v>
      </c>
      <c r="P892" s="2" t="s">
        <v>24</v>
      </c>
    </row>
    <row r="893" spans="1:16" x14ac:dyDescent="0.25">
      <c r="A893" s="4">
        <v>45630</v>
      </c>
      <c r="B893" s="2" t="s">
        <v>1366</v>
      </c>
      <c r="C893" s="2" t="s">
        <v>339</v>
      </c>
      <c r="D893" t="s">
        <v>33</v>
      </c>
      <c r="E893" s="2" t="s">
        <v>34</v>
      </c>
      <c r="F893" s="2" t="s">
        <v>61</v>
      </c>
      <c r="G893" s="2" t="s">
        <v>62</v>
      </c>
      <c r="H893" s="2" t="s">
        <v>156</v>
      </c>
      <c r="I893" s="2">
        <v>3</v>
      </c>
      <c r="J893" s="2">
        <v>1921</v>
      </c>
      <c r="K893" s="2">
        <v>10</v>
      </c>
      <c r="L893" s="2">
        <v>576.29999999999995</v>
      </c>
      <c r="M893" s="2">
        <v>5186.7</v>
      </c>
      <c r="N893" s="2" t="s">
        <v>38</v>
      </c>
      <c r="O893" s="2">
        <v>5</v>
      </c>
      <c r="P893" s="2" t="s">
        <v>24</v>
      </c>
    </row>
    <row r="894" spans="1:16" x14ac:dyDescent="0.25">
      <c r="A894" s="4">
        <v>45631</v>
      </c>
      <c r="B894" s="2" t="s">
        <v>1367</v>
      </c>
      <c r="C894" s="2" t="s">
        <v>1001</v>
      </c>
      <c r="D894" t="s">
        <v>47</v>
      </c>
      <c r="E894" s="2" t="s">
        <v>48</v>
      </c>
      <c r="F894" s="2" t="s">
        <v>28</v>
      </c>
      <c r="G894" s="2" t="s">
        <v>188</v>
      </c>
      <c r="H894" s="2" t="s">
        <v>192</v>
      </c>
      <c r="I894" s="2">
        <v>1</v>
      </c>
      <c r="J894" s="2">
        <v>1265</v>
      </c>
      <c r="K894" s="2">
        <v>20</v>
      </c>
      <c r="L894" s="2">
        <v>253</v>
      </c>
      <c r="M894" s="2">
        <v>1012</v>
      </c>
      <c r="N894" s="2" t="s">
        <v>44</v>
      </c>
      <c r="O894" s="2">
        <v>3</v>
      </c>
      <c r="P894" s="2" t="s">
        <v>24</v>
      </c>
    </row>
    <row r="895" spans="1:16" x14ac:dyDescent="0.25">
      <c r="A895" s="4">
        <v>45632</v>
      </c>
      <c r="B895" s="2" t="s">
        <v>1368</v>
      </c>
      <c r="C895" s="2" t="s">
        <v>605</v>
      </c>
      <c r="D895" t="s">
        <v>59</v>
      </c>
      <c r="E895" s="2" t="s">
        <v>60</v>
      </c>
      <c r="F895" s="2" t="s">
        <v>61</v>
      </c>
      <c r="G895" s="2" t="s">
        <v>150</v>
      </c>
      <c r="H895" s="2" t="s">
        <v>359</v>
      </c>
      <c r="I895" s="2">
        <v>2</v>
      </c>
      <c r="J895" s="2">
        <v>1938</v>
      </c>
      <c r="K895" s="2">
        <v>5</v>
      </c>
      <c r="L895" s="2">
        <v>193.8</v>
      </c>
      <c r="M895" s="2">
        <v>3682.2</v>
      </c>
      <c r="N895" s="2" t="s">
        <v>23</v>
      </c>
      <c r="O895" s="2">
        <v>4</v>
      </c>
      <c r="P895" s="2" t="s">
        <v>24</v>
      </c>
    </row>
    <row r="896" spans="1:16" x14ac:dyDescent="0.25">
      <c r="A896" s="4">
        <v>45633</v>
      </c>
      <c r="B896" s="2" t="s">
        <v>1369</v>
      </c>
      <c r="C896" s="2" t="s">
        <v>316</v>
      </c>
      <c r="D896" t="s">
        <v>33</v>
      </c>
      <c r="E896" s="2" t="s">
        <v>34</v>
      </c>
      <c r="F896" s="2" t="s">
        <v>61</v>
      </c>
      <c r="G896" s="2" t="s">
        <v>250</v>
      </c>
      <c r="H896" s="2" t="s">
        <v>591</v>
      </c>
      <c r="I896" s="2">
        <v>3</v>
      </c>
      <c r="J896" s="2">
        <v>209</v>
      </c>
      <c r="K896" s="2">
        <v>0</v>
      </c>
      <c r="L896" s="2">
        <v>0</v>
      </c>
      <c r="M896" s="2">
        <v>627</v>
      </c>
      <c r="N896" s="2" t="s">
        <v>56</v>
      </c>
      <c r="O896" s="2">
        <v>3</v>
      </c>
      <c r="P896" s="2" t="s">
        <v>24</v>
      </c>
    </row>
    <row r="897" spans="1:16" x14ac:dyDescent="0.25">
      <c r="A897" s="4">
        <v>45634</v>
      </c>
      <c r="B897" s="2" t="s">
        <v>1370</v>
      </c>
      <c r="C897" s="2" t="s">
        <v>1364</v>
      </c>
      <c r="D897" t="s">
        <v>59</v>
      </c>
      <c r="E897" s="2" t="s">
        <v>60</v>
      </c>
      <c r="F897" s="2" t="s">
        <v>35</v>
      </c>
      <c r="G897" s="2" t="s">
        <v>130</v>
      </c>
      <c r="H897" s="2" t="s">
        <v>131</v>
      </c>
      <c r="I897" s="2">
        <v>1</v>
      </c>
      <c r="J897" s="2">
        <v>37810</v>
      </c>
      <c r="K897" s="2">
        <v>0</v>
      </c>
      <c r="L897" s="2">
        <v>0</v>
      </c>
      <c r="M897" s="2">
        <v>37810</v>
      </c>
      <c r="N897" s="2" t="s">
        <v>56</v>
      </c>
      <c r="O897" s="2">
        <v>3</v>
      </c>
      <c r="P897" s="2" t="s">
        <v>24</v>
      </c>
    </row>
    <row r="898" spans="1:16" x14ac:dyDescent="0.25">
      <c r="A898" s="4">
        <v>45635</v>
      </c>
      <c r="B898" s="2" t="s">
        <v>1371</v>
      </c>
      <c r="C898" s="2" t="s">
        <v>603</v>
      </c>
      <c r="D898" t="s">
        <v>27</v>
      </c>
      <c r="E898" s="2" t="s">
        <v>19</v>
      </c>
      <c r="F898" s="2" t="s">
        <v>28</v>
      </c>
      <c r="G898" s="2" t="s">
        <v>90</v>
      </c>
      <c r="H898" s="2" t="s">
        <v>103</v>
      </c>
      <c r="I898" s="2">
        <v>1</v>
      </c>
      <c r="J898" s="2">
        <v>1835</v>
      </c>
      <c r="K898" s="2">
        <v>5</v>
      </c>
      <c r="L898" s="2">
        <v>91.75</v>
      </c>
      <c r="M898" s="2">
        <v>1743.25</v>
      </c>
      <c r="N898" s="2" t="s">
        <v>23</v>
      </c>
      <c r="O898" s="2">
        <v>4</v>
      </c>
      <c r="P898" s="2" t="s">
        <v>24</v>
      </c>
    </row>
    <row r="899" spans="1:16" x14ac:dyDescent="0.25">
      <c r="A899" s="4">
        <v>45636</v>
      </c>
      <c r="B899" s="2" t="s">
        <v>1372</v>
      </c>
      <c r="C899" s="2" t="s">
        <v>701</v>
      </c>
      <c r="D899" t="s">
        <v>66</v>
      </c>
      <c r="E899" s="2" t="s">
        <v>19</v>
      </c>
      <c r="F899" s="2" t="s">
        <v>61</v>
      </c>
      <c r="G899" s="2" t="s">
        <v>62</v>
      </c>
      <c r="H899" s="2" t="s">
        <v>414</v>
      </c>
      <c r="I899" s="2">
        <v>1</v>
      </c>
      <c r="J899" s="2">
        <v>1174</v>
      </c>
      <c r="K899" s="2">
        <v>0</v>
      </c>
      <c r="L899" s="2">
        <v>0</v>
      </c>
      <c r="M899" s="2">
        <v>1174</v>
      </c>
      <c r="N899" s="2" t="s">
        <v>56</v>
      </c>
      <c r="O899" s="2">
        <v>2</v>
      </c>
      <c r="P899" s="2" t="s">
        <v>24</v>
      </c>
    </row>
    <row r="900" spans="1:16" x14ac:dyDescent="0.25">
      <c r="A900" s="4">
        <v>45637</v>
      </c>
      <c r="B900" s="2" t="s">
        <v>1373</v>
      </c>
      <c r="C900" s="2" t="s">
        <v>120</v>
      </c>
      <c r="D900" t="s">
        <v>66</v>
      </c>
      <c r="E900" s="2" t="s">
        <v>19</v>
      </c>
      <c r="F900" s="2" t="s">
        <v>35</v>
      </c>
      <c r="G900" s="2" t="s">
        <v>67</v>
      </c>
      <c r="H900" s="2" t="s">
        <v>68</v>
      </c>
      <c r="I900" s="2">
        <v>1</v>
      </c>
      <c r="J900" s="2">
        <v>27130</v>
      </c>
      <c r="K900" s="2">
        <v>0</v>
      </c>
      <c r="L900" s="2">
        <v>0</v>
      </c>
      <c r="M900" s="2">
        <v>27130</v>
      </c>
      <c r="N900" s="2" t="s">
        <v>50</v>
      </c>
      <c r="O900" s="2">
        <v>2</v>
      </c>
      <c r="P900" s="2" t="s">
        <v>24</v>
      </c>
    </row>
    <row r="901" spans="1:16" x14ac:dyDescent="0.25">
      <c r="A901" s="4">
        <v>45638</v>
      </c>
      <c r="B901" s="2" t="s">
        <v>1374</v>
      </c>
      <c r="C901" s="2" t="s">
        <v>185</v>
      </c>
      <c r="D901" t="s">
        <v>41</v>
      </c>
      <c r="E901" s="2" t="s">
        <v>19</v>
      </c>
      <c r="F901" s="2" t="s">
        <v>71</v>
      </c>
      <c r="G901" s="2" t="s">
        <v>114</v>
      </c>
      <c r="H901" s="2" t="s">
        <v>543</v>
      </c>
      <c r="I901" s="2">
        <v>1</v>
      </c>
      <c r="J901" s="2">
        <v>131</v>
      </c>
      <c r="K901" s="2">
        <v>5</v>
      </c>
      <c r="L901" s="2">
        <v>6.55</v>
      </c>
      <c r="M901" s="2">
        <v>124.45</v>
      </c>
      <c r="N901" s="2" t="s">
        <v>44</v>
      </c>
      <c r="O901" s="2">
        <v>6</v>
      </c>
      <c r="P901" s="2" t="s">
        <v>24</v>
      </c>
    </row>
    <row r="902" spans="1:16" x14ac:dyDescent="0.25">
      <c r="A902" s="4">
        <v>45639</v>
      </c>
      <c r="B902" s="2" t="s">
        <v>1375</v>
      </c>
      <c r="C902" s="2" t="s">
        <v>339</v>
      </c>
      <c r="D902" t="s">
        <v>33</v>
      </c>
      <c r="E902" s="2" t="s">
        <v>34</v>
      </c>
      <c r="F902" s="2" t="s">
        <v>28</v>
      </c>
      <c r="G902" s="2" t="s">
        <v>289</v>
      </c>
      <c r="H902" s="2" t="s">
        <v>290</v>
      </c>
      <c r="I902" s="2">
        <v>2</v>
      </c>
      <c r="J902" s="2">
        <v>1784</v>
      </c>
      <c r="K902" s="2">
        <v>5</v>
      </c>
      <c r="L902" s="2">
        <v>178.4</v>
      </c>
      <c r="M902" s="2">
        <v>3389.6</v>
      </c>
      <c r="N902" s="2" t="s">
        <v>44</v>
      </c>
      <c r="O902" s="2">
        <v>4</v>
      </c>
      <c r="P902" s="2" t="s">
        <v>24</v>
      </c>
    </row>
    <row r="903" spans="1:16" x14ac:dyDescent="0.25">
      <c r="A903" s="4">
        <v>45640</v>
      </c>
      <c r="B903" s="2" t="s">
        <v>1376</v>
      </c>
      <c r="C903" s="2" t="s">
        <v>855</v>
      </c>
      <c r="D903" t="s">
        <v>33</v>
      </c>
      <c r="E903" s="2" t="s">
        <v>34</v>
      </c>
      <c r="F903" s="2" t="s">
        <v>61</v>
      </c>
      <c r="G903" s="2" t="s">
        <v>150</v>
      </c>
      <c r="H903" s="2" t="s">
        <v>151</v>
      </c>
      <c r="I903" s="2">
        <v>2</v>
      </c>
      <c r="J903" s="2">
        <v>1060</v>
      </c>
      <c r="K903" s="2">
        <v>10</v>
      </c>
      <c r="L903" s="2">
        <v>212</v>
      </c>
      <c r="M903" s="2">
        <v>1908</v>
      </c>
      <c r="N903" s="2" t="s">
        <v>56</v>
      </c>
      <c r="O903" s="2">
        <v>3</v>
      </c>
      <c r="P903" s="2" t="s">
        <v>24</v>
      </c>
    </row>
    <row r="904" spans="1:16" x14ac:dyDescent="0.25">
      <c r="A904" s="4">
        <v>45641</v>
      </c>
      <c r="B904" s="2" t="s">
        <v>1377</v>
      </c>
      <c r="C904" s="2" t="s">
        <v>228</v>
      </c>
      <c r="D904" t="s">
        <v>174</v>
      </c>
      <c r="E904" s="2" t="s">
        <v>60</v>
      </c>
      <c r="F904" s="2" t="s">
        <v>28</v>
      </c>
      <c r="G904" s="2" t="s">
        <v>29</v>
      </c>
      <c r="H904" s="2" t="s">
        <v>259</v>
      </c>
      <c r="I904" s="2">
        <v>1</v>
      </c>
      <c r="J904" s="2">
        <v>3371</v>
      </c>
      <c r="K904" s="2">
        <v>15</v>
      </c>
      <c r="L904" s="2">
        <v>505.65</v>
      </c>
      <c r="M904" s="2">
        <v>2865.35</v>
      </c>
      <c r="N904" s="2" t="s">
        <v>23</v>
      </c>
      <c r="O904" s="2">
        <v>3</v>
      </c>
      <c r="P904" s="2" t="s">
        <v>24</v>
      </c>
    </row>
    <row r="905" spans="1:16" x14ac:dyDescent="0.25">
      <c r="A905" s="4">
        <v>45642</v>
      </c>
      <c r="B905" s="2" t="s">
        <v>1378</v>
      </c>
      <c r="C905" s="2" t="s">
        <v>959</v>
      </c>
      <c r="D905" t="s">
        <v>84</v>
      </c>
      <c r="E905" s="2" t="s">
        <v>85</v>
      </c>
      <c r="F905" s="2" t="s">
        <v>28</v>
      </c>
      <c r="G905" s="2" t="s">
        <v>90</v>
      </c>
      <c r="H905" s="2" t="s">
        <v>333</v>
      </c>
      <c r="I905" s="2">
        <v>1</v>
      </c>
      <c r="J905" s="2">
        <v>2507</v>
      </c>
      <c r="K905" s="2">
        <v>15</v>
      </c>
      <c r="L905" s="2">
        <v>376.05</v>
      </c>
      <c r="M905" s="2">
        <v>2130.9499999999998</v>
      </c>
      <c r="N905" s="2" t="s">
        <v>56</v>
      </c>
      <c r="O905" s="2">
        <v>1</v>
      </c>
      <c r="P905" s="2" t="s">
        <v>24</v>
      </c>
    </row>
    <row r="906" spans="1:16" x14ac:dyDescent="0.25">
      <c r="A906" s="4">
        <v>45643</v>
      </c>
      <c r="B906" s="2" t="s">
        <v>1379</v>
      </c>
      <c r="C906" s="2" t="s">
        <v>557</v>
      </c>
      <c r="D906" t="s">
        <v>47</v>
      </c>
      <c r="E906" s="2" t="s">
        <v>48</v>
      </c>
      <c r="F906" s="2" t="s">
        <v>71</v>
      </c>
      <c r="G906" s="2" t="s">
        <v>86</v>
      </c>
      <c r="H906" s="2" t="s">
        <v>87</v>
      </c>
      <c r="I906" s="2">
        <v>1</v>
      </c>
      <c r="J906" s="2">
        <v>1252</v>
      </c>
      <c r="K906" s="2">
        <v>15</v>
      </c>
      <c r="L906" s="2">
        <v>187.8</v>
      </c>
      <c r="M906" s="2">
        <v>1064.2</v>
      </c>
      <c r="N906" s="2" t="s">
        <v>23</v>
      </c>
      <c r="O906" s="2">
        <v>2</v>
      </c>
      <c r="P906" s="2" t="s">
        <v>24</v>
      </c>
    </row>
    <row r="907" spans="1:16" x14ac:dyDescent="0.25">
      <c r="A907" s="4">
        <v>45644</v>
      </c>
      <c r="B907" s="2" t="s">
        <v>1380</v>
      </c>
      <c r="C907" s="2" t="s">
        <v>1010</v>
      </c>
      <c r="D907" t="s">
        <v>27</v>
      </c>
      <c r="E907" s="2" t="s">
        <v>19</v>
      </c>
      <c r="F907" s="2" t="s">
        <v>61</v>
      </c>
      <c r="G907" s="2" t="s">
        <v>62</v>
      </c>
      <c r="H907" s="2" t="s">
        <v>515</v>
      </c>
      <c r="I907" s="2">
        <v>2</v>
      </c>
      <c r="J907" s="2">
        <v>610</v>
      </c>
      <c r="K907" s="2">
        <v>0</v>
      </c>
      <c r="L907" s="2">
        <v>0</v>
      </c>
      <c r="M907" s="2">
        <v>1220</v>
      </c>
      <c r="N907" s="2" t="s">
        <v>23</v>
      </c>
      <c r="O907" s="2">
        <v>3</v>
      </c>
      <c r="P907" s="2" t="s">
        <v>24</v>
      </c>
    </row>
    <row r="908" spans="1:16" x14ac:dyDescent="0.25">
      <c r="A908" s="4">
        <v>45645</v>
      </c>
      <c r="B908" s="2" t="s">
        <v>1381</v>
      </c>
      <c r="C908" s="2" t="s">
        <v>1478</v>
      </c>
      <c r="D908" t="s">
        <v>47</v>
      </c>
      <c r="E908" s="2" t="s">
        <v>48</v>
      </c>
      <c r="F908" s="2" t="s">
        <v>61</v>
      </c>
      <c r="G908" s="2" t="s">
        <v>150</v>
      </c>
      <c r="H908" s="2" t="s">
        <v>497</v>
      </c>
      <c r="I908" s="2">
        <v>3</v>
      </c>
      <c r="J908" s="2">
        <v>617</v>
      </c>
      <c r="K908" s="2">
        <v>5</v>
      </c>
      <c r="L908" s="2">
        <v>92.55</v>
      </c>
      <c r="M908" s="2">
        <v>1758.45</v>
      </c>
      <c r="N908" s="2" t="s">
        <v>23</v>
      </c>
      <c r="O908" s="2">
        <v>3</v>
      </c>
      <c r="P908" s="2" t="s">
        <v>24</v>
      </c>
    </row>
    <row r="909" spans="1:16" x14ac:dyDescent="0.25">
      <c r="A909" s="4">
        <v>45646</v>
      </c>
      <c r="B909" s="2" t="s">
        <v>1382</v>
      </c>
      <c r="C909" s="2" t="s">
        <v>1478</v>
      </c>
      <c r="D909" t="s">
        <v>33</v>
      </c>
      <c r="E909" s="2" t="s">
        <v>34</v>
      </c>
      <c r="F909" s="2" t="s">
        <v>20</v>
      </c>
      <c r="G909" s="2" t="s">
        <v>42</v>
      </c>
      <c r="H909" s="2" t="s">
        <v>221</v>
      </c>
      <c r="I909" s="2">
        <v>2</v>
      </c>
      <c r="J909" s="2">
        <v>6836</v>
      </c>
      <c r="K909" s="2">
        <v>5</v>
      </c>
      <c r="L909" s="2">
        <v>683.6</v>
      </c>
      <c r="M909" s="2">
        <v>12988.4</v>
      </c>
      <c r="N909" s="2" t="s">
        <v>23</v>
      </c>
      <c r="O909" s="2">
        <v>2</v>
      </c>
      <c r="P909" s="2" t="s">
        <v>24</v>
      </c>
    </row>
    <row r="910" spans="1:16" x14ac:dyDescent="0.25">
      <c r="A910" s="4">
        <v>45647</v>
      </c>
      <c r="B910" s="2" t="s">
        <v>1383</v>
      </c>
      <c r="C910" s="2" t="s">
        <v>120</v>
      </c>
      <c r="D910" t="s">
        <v>53</v>
      </c>
      <c r="E910" s="2" t="s">
        <v>53</v>
      </c>
      <c r="F910" s="2" t="s">
        <v>61</v>
      </c>
      <c r="G910" s="2" t="s">
        <v>62</v>
      </c>
      <c r="H910" s="2" t="s">
        <v>534</v>
      </c>
      <c r="I910" s="2">
        <v>3</v>
      </c>
      <c r="J910" s="2">
        <v>337</v>
      </c>
      <c r="K910" s="2">
        <v>10</v>
      </c>
      <c r="L910" s="2">
        <v>101.1</v>
      </c>
      <c r="M910" s="2">
        <v>909.9</v>
      </c>
      <c r="N910" s="2" t="s">
        <v>44</v>
      </c>
      <c r="O910" s="2">
        <v>5</v>
      </c>
      <c r="P910" s="2" t="s">
        <v>24</v>
      </c>
    </row>
    <row r="911" spans="1:16" x14ac:dyDescent="0.25">
      <c r="A911" s="4">
        <v>45648</v>
      </c>
      <c r="B911" s="2" t="s">
        <v>1384</v>
      </c>
      <c r="C911" s="2" t="s">
        <v>401</v>
      </c>
      <c r="D911" t="s">
        <v>53</v>
      </c>
      <c r="E911" s="2" t="s">
        <v>53</v>
      </c>
      <c r="F911" s="2" t="s">
        <v>28</v>
      </c>
      <c r="G911" s="2" t="s">
        <v>90</v>
      </c>
      <c r="H911" s="2" t="s">
        <v>281</v>
      </c>
      <c r="I911" s="2">
        <v>2</v>
      </c>
      <c r="J911" s="2">
        <v>4203</v>
      </c>
      <c r="K911" s="2">
        <v>5</v>
      </c>
      <c r="L911" s="2">
        <v>420.3</v>
      </c>
      <c r="M911" s="2">
        <v>7985.7</v>
      </c>
      <c r="N911" s="2" t="s">
        <v>56</v>
      </c>
      <c r="O911" s="2">
        <v>2</v>
      </c>
      <c r="P911" s="2" t="s">
        <v>24</v>
      </c>
    </row>
    <row r="912" spans="1:16" x14ac:dyDescent="0.25">
      <c r="A912" s="4">
        <v>45649</v>
      </c>
      <c r="B912" s="2" t="s">
        <v>1385</v>
      </c>
      <c r="C912" s="2" t="s">
        <v>525</v>
      </c>
      <c r="D912" t="s">
        <v>33</v>
      </c>
      <c r="E912" s="2" t="s">
        <v>34</v>
      </c>
      <c r="F912" s="2" t="s">
        <v>61</v>
      </c>
      <c r="G912" s="2" t="s">
        <v>62</v>
      </c>
      <c r="H912" s="2" t="s">
        <v>534</v>
      </c>
      <c r="I912" s="2">
        <v>1</v>
      </c>
      <c r="J912" s="2">
        <v>1315</v>
      </c>
      <c r="K912" s="2">
        <v>5</v>
      </c>
      <c r="L912" s="2">
        <v>65.75</v>
      </c>
      <c r="M912" s="2">
        <v>1249.25</v>
      </c>
      <c r="N912" s="2" t="s">
        <v>44</v>
      </c>
      <c r="O912" s="2">
        <v>2</v>
      </c>
      <c r="P912" s="2" t="s">
        <v>24</v>
      </c>
    </row>
    <row r="913" spans="1:16" x14ac:dyDescent="0.25">
      <c r="A913" s="4">
        <v>45650</v>
      </c>
      <c r="B913" s="2" t="s">
        <v>1386</v>
      </c>
      <c r="C913" s="2" t="s">
        <v>681</v>
      </c>
      <c r="D913" t="s">
        <v>41</v>
      </c>
      <c r="E913" s="2" t="s">
        <v>19</v>
      </c>
      <c r="F913" s="2" t="s">
        <v>71</v>
      </c>
      <c r="G913" s="2" t="s">
        <v>106</v>
      </c>
      <c r="H913" s="2" t="s">
        <v>346</v>
      </c>
      <c r="I913" s="2">
        <v>1</v>
      </c>
      <c r="J913" s="2">
        <v>411</v>
      </c>
      <c r="K913" s="2">
        <v>5</v>
      </c>
      <c r="L913" s="2">
        <v>20.55</v>
      </c>
      <c r="M913" s="2">
        <v>390.45</v>
      </c>
      <c r="N913" s="2" t="s">
        <v>50</v>
      </c>
      <c r="O913" s="2">
        <v>2</v>
      </c>
      <c r="P913" s="2" t="s">
        <v>24</v>
      </c>
    </row>
    <row r="914" spans="1:16" x14ac:dyDescent="0.25">
      <c r="A914" s="4">
        <v>45651</v>
      </c>
      <c r="B914" s="2" t="s">
        <v>1387</v>
      </c>
      <c r="C914" s="2" t="s">
        <v>117</v>
      </c>
      <c r="D914" t="s">
        <v>84</v>
      </c>
      <c r="E914" s="2" t="s">
        <v>85</v>
      </c>
      <c r="F914" s="2" t="s">
        <v>71</v>
      </c>
      <c r="G914" s="2" t="s">
        <v>76</v>
      </c>
      <c r="H914" s="2" t="s">
        <v>95</v>
      </c>
      <c r="I914" s="2">
        <v>1</v>
      </c>
      <c r="J914" s="2">
        <v>951</v>
      </c>
      <c r="K914" s="2">
        <v>0</v>
      </c>
      <c r="L914" s="2">
        <v>0</v>
      </c>
      <c r="M914" s="2">
        <v>951</v>
      </c>
      <c r="N914" s="2" t="s">
        <v>44</v>
      </c>
      <c r="O914" s="2">
        <v>2</v>
      </c>
      <c r="P914" s="2" t="s">
        <v>92</v>
      </c>
    </row>
    <row r="915" spans="1:16" x14ac:dyDescent="0.25">
      <c r="A915" s="4">
        <v>45652</v>
      </c>
      <c r="B915" s="2" t="s">
        <v>1388</v>
      </c>
      <c r="C915" s="2" t="s">
        <v>177</v>
      </c>
      <c r="D915" t="s">
        <v>66</v>
      </c>
      <c r="E915" s="2" t="s">
        <v>19</v>
      </c>
      <c r="F915" s="2" t="s">
        <v>28</v>
      </c>
      <c r="G915" s="2" t="s">
        <v>90</v>
      </c>
      <c r="H915" s="2" t="s">
        <v>91</v>
      </c>
      <c r="I915" s="2">
        <v>2</v>
      </c>
      <c r="J915" s="2">
        <v>1174</v>
      </c>
      <c r="K915" s="2">
        <v>5</v>
      </c>
      <c r="L915" s="2">
        <v>117.4</v>
      </c>
      <c r="M915" s="2">
        <v>2230.6</v>
      </c>
      <c r="N915" s="2" t="s">
        <v>56</v>
      </c>
      <c r="O915" s="2">
        <v>4</v>
      </c>
      <c r="P915" s="2" t="s">
        <v>24</v>
      </c>
    </row>
    <row r="916" spans="1:16" x14ac:dyDescent="0.25">
      <c r="A916" s="4">
        <v>45653</v>
      </c>
      <c r="B916" s="2" t="s">
        <v>1389</v>
      </c>
      <c r="C916" s="2" t="s">
        <v>487</v>
      </c>
      <c r="D916" t="s">
        <v>53</v>
      </c>
      <c r="E916" s="2" t="s">
        <v>53</v>
      </c>
      <c r="F916" s="2" t="s">
        <v>28</v>
      </c>
      <c r="G916" s="2" t="s">
        <v>289</v>
      </c>
      <c r="H916" s="2" t="s">
        <v>290</v>
      </c>
      <c r="I916" s="2">
        <v>1</v>
      </c>
      <c r="J916" s="2">
        <v>4265</v>
      </c>
      <c r="K916" s="2">
        <v>15</v>
      </c>
      <c r="L916" s="2">
        <v>639.75</v>
      </c>
      <c r="M916" s="2">
        <v>3625.25</v>
      </c>
      <c r="N916" s="2" t="s">
        <v>23</v>
      </c>
      <c r="O916" s="2">
        <v>3</v>
      </c>
      <c r="P916" s="2" t="s">
        <v>24</v>
      </c>
    </row>
    <row r="917" spans="1:16" x14ac:dyDescent="0.25">
      <c r="A917" s="4">
        <v>45654</v>
      </c>
      <c r="B917" s="2" t="s">
        <v>1390</v>
      </c>
      <c r="C917" s="2" t="s">
        <v>371</v>
      </c>
      <c r="D917" t="s">
        <v>53</v>
      </c>
      <c r="E917" s="2" t="s">
        <v>53</v>
      </c>
      <c r="F917" s="2" t="s">
        <v>61</v>
      </c>
      <c r="G917" s="2" t="s">
        <v>62</v>
      </c>
      <c r="H917" s="2" t="s">
        <v>156</v>
      </c>
      <c r="I917" s="2">
        <v>1</v>
      </c>
      <c r="J917" s="2">
        <v>1120</v>
      </c>
      <c r="K917" s="2">
        <v>5</v>
      </c>
      <c r="L917" s="2">
        <v>56</v>
      </c>
      <c r="M917" s="2">
        <v>1064</v>
      </c>
      <c r="N917" s="2" t="s">
        <v>50</v>
      </c>
      <c r="O917" s="2">
        <v>3</v>
      </c>
      <c r="P917" s="2" t="s">
        <v>24</v>
      </c>
    </row>
    <row r="918" spans="1:16" x14ac:dyDescent="0.25">
      <c r="A918" s="4">
        <v>45655</v>
      </c>
      <c r="B918" s="2" t="s">
        <v>1391</v>
      </c>
      <c r="C918" s="2" t="s">
        <v>1392</v>
      </c>
      <c r="D918" t="s">
        <v>66</v>
      </c>
      <c r="E918" s="2" t="s">
        <v>19</v>
      </c>
      <c r="F918" s="2" t="s">
        <v>20</v>
      </c>
      <c r="G918" s="2" t="s">
        <v>139</v>
      </c>
      <c r="H918" s="2" t="s">
        <v>492</v>
      </c>
      <c r="I918" s="2">
        <v>1</v>
      </c>
      <c r="J918" s="2">
        <v>3984</v>
      </c>
      <c r="K918" s="2">
        <v>5</v>
      </c>
      <c r="L918" s="2">
        <v>199.2</v>
      </c>
      <c r="M918" s="2">
        <v>3784.8</v>
      </c>
      <c r="N918" s="2" t="s">
        <v>44</v>
      </c>
      <c r="O918" s="2">
        <v>3</v>
      </c>
      <c r="P918" s="2" t="s">
        <v>24</v>
      </c>
    </row>
    <row r="919" spans="1:16" x14ac:dyDescent="0.25">
      <c r="A919" s="4">
        <v>45656</v>
      </c>
      <c r="B919" s="2" t="s">
        <v>1393</v>
      </c>
      <c r="C919" s="2" t="s">
        <v>1001</v>
      </c>
      <c r="D919" t="s">
        <v>47</v>
      </c>
      <c r="E919" s="2" t="s">
        <v>48</v>
      </c>
      <c r="F919" s="2" t="s">
        <v>28</v>
      </c>
      <c r="G919" s="2" t="s">
        <v>188</v>
      </c>
      <c r="H919" s="2" t="s">
        <v>418</v>
      </c>
      <c r="I919" s="2">
        <v>1</v>
      </c>
      <c r="J919" s="2">
        <v>2108</v>
      </c>
      <c r="K919" s="2">
        <v>0</v>
      </c>
      <c r="L919" s="2">
        <v>0</v>
      </c>
      <c r="M919" s="2">
        <v>2108</v>
      </c>
      <c r="N919" s="2" t="s">
        <v>50</v>
      </c>
      <c r="O919" s="2">
        <v>2</v>
      </c>
      <c r="P919" s="2" t="s">
        <v>24</v>
      </c>
    </row>
    <row r="920" spans="1:16" x14ac:dyDescent="0.25">
      <c r="A920" s="4">
        <v>45657</v>
      </c>
      <c r="B920" s="2" t="s">
        <v>1394</v>
      </c>
      <c r="C920" s="2" t="s">
        <v>735</v>
      </c>
      <c r="D920" t="s">
        <v>27</v>
      </c>
      <c r="E920" s="2" t="s">
        <v>19</v>
      </c>
      <c r="F920" s="2" t="s">
        <v>71</v>
      </c>
      <c r="G920" s="2" t="s">
        <v>76</v>
      </c>
      <c r="H920" s="2" t="s">
        <v>77</v>
      </c>
      <c r="I920" s="2">
        <v>1</v>
      </c>
      <c r="J920" s="2">
        <v>547</v>
      </c>
      <c r="K920" s="2">
        <v>0</v>
      </c>
      <c r="L920" s="2">
        <v>0</v>
      </c>
      <c r="M920" s="2">
        <v>547</v>
      </c>
      <c r="N920" s="2" t="s">
        <v>44</v>
      </c>
      <c r="O920" s="2">
        <v>8</v>
      </c>
      <c r="P920" s="2" t="s">
        <v>24</v>
      </c>
    </row>
    <row r="921" spans="1:16" x14ac:dyDescent="0.25">
      <c r="A921" s="4">
        <v>45658</v>
      </c>
      <c r="B921" s="2" t="s">
        <v>1395</v>
      </c>
      <c r="C921" s="2" t="s">
        <v>1396</v>
      </c>
      <c r="D921" t="s">
        <v>66</v>
      </c>
      <c r="E921" s="2" t="s">
        <v>19</v>
      </c>
      <c r="F921" s="2" t="s">
        <v>28</v>
      </c>
      <c r="G921" s="2" t="s">
        <v>289</v>
      </c>
      <c r="H921" s="2" t="s">
        <v>290</v>
      </c>
      <c r="I921" s="2">
        <v>1</v>
      </c>
      <c r="J921" s="2">
        <v>1230</v>
      </c>
      <c r="K921" s="2">
        <v>0</v>
      </c>
      <c r="L921" s="2">
        <v>0</v>
      </c>
      <c r="M921" s="2">
        <v>1230</v>
      </c>
      <c r="N921" s="2" t="s">
        <v>50</v>
      </c>
      <c r="O921" s="2">
        <v>4</v>
      </c>
      <c r="P921" s="2" t="s">
        <v>24</v>
      </c>
    </row>
    <row r="922" spans="1:16" x14ac:dyDescent="0.25">
      <c r="A922" s="4">
        <v>45659</v>
      </c>
      <c r="B922" s="2" t="s">
        <v>1397</v>
      </c>
      <c r="C922" s="2" t="s">
        <v>565</v>
      </c>
      <c r="D922" t="s">
        <v>174</v>
      </c>
      <c r="E922" s="2" t="s">
        <v>60</v>
      </c>
      <c r="F922" s="2" t="s">
        <v>35</v>
      </c>
      <c r="G922" s="2" t="s">
        <v>130</v>
      </c>
      <c r="H922" s="2" t="s">
        <v>175</v>
      </c>
      <c r="I922" s="2">
        <v>2</v>
      </c>
      <c r="J922" s="2">
        <v>10357</v>
      </c>
      <c r="K922" s="2">
        <v>0</v>
      </c>
      <c r="L922" s="2">
        <v>0</v>
      </c>
      <c r="M922" s="2">
        <v>20714</v>
      </c>
      <c r="N922" s="2" t="s">
        <v>23</v>
      </c>
      <c r="O922" s="2">
        <v>3</v>
      </c>
      <c r="P922" s="2" t="s">
        <v>24</v>
      </c>
    </row>
    <row r="923" spans="1:16" x14ac:dyDescent="0.25">
      <c r="A923" s="4">
        <v>45660</v>
      </c>
      <c r="B923" s="2" t="s">
        <v>1398</v>
      </c>
      <c r="C923" s="2" t="s">
        <v>417</v>
      </c>
      <c r="D923" t="s">
        <v>27</v>
      </c>
      <c r="E923" s="2" t="s">
        <v>19</v>
      </c>
      <c r="F923" s="2" t="s">
        <v>71</v>
      </c>
      <c r="G923" s="2" t="s">
        <v>72</v>
      </c>
      <c r="H923" s="2" t="s">
        <v>420</v>
      </c>
      <c r="I923" s="2">
        <v>1</v>
      </c>
      <c r="J923" s="2">
        <v>963</v>
      </c>
      <c r="K923" s="2">
        <v>10</v>
      </c>
      <c r="L923" s="2">
        <v>96.3</v>
      </c>
      <c r="M923" s="2">
        <v>866.7</v>
      </c>
      <c r="N923" s="2" t="s">
        <v>23</v>
      </c>
      <c r="O923" s="2">
        <v>2</v>
      </c>
      <c r="P923" s="2" t="s">
        <v>24</v>
      </c>
    </row>
    <row r="924" spans="1:16" x14ac:dyDescent="0.25">
      <c r="A924" s="4">
        <v>45661</v>
      </c>
      <c r="B924" s="2" t="s">
        <v>1399</v>
      </c>
      <c r="C924" s="2" t="s">
        <v>312</v>
      </c>
      <c r="D924" t="s">
        <v>47</v>
      </c>
      <c r="E924" s="2" t="s">
        <v>48</v>
      </c>
      <c r="F924" s="2" t="s">
        <v>20</v>
      </c>
      <c r="G924" s="2" t="s">
        <v>21</v>
      </c>
      <c r="H924" s="2" t="s">
        <v>49</v>
      </c>
      <c r="I924" s="2">
        <v>1</v>
      </c>
      <c r="J924" s="2">
        <v>1276</v>
      </c>
      <c r="K924" s="2">
        <v>5</v>
      </c>
      <c r="L924" s="2">
        <v>63.8</v>
      </c>
      <c r="M924" s="2">
        <v>1212.2</v>
      </c>
      <c r="N924" s="2" t="s">
        <v>44</v>
      </c>
      <c r="O924" s="2">
        <v>4</v>
      </c>
      <c r="P924" s="2" t="s">
        <v>24</v>
      </c>
    </row>
    <row r="925" spans="1:16" x14ac:dyDescent="0.25">
      <c r="A925" s="4">
        <v>45662</v>
      </c>
      <c r="B925" s="2" t="s">
        <v>1400</v>
      </c>
      <c r="C925" s="2" t="s">
        <v>678</v>
      </c>
      <c r="D925" t="s">
        <v>47</v>
      </c>
      <c r="E925" s="2" t="s">
        <v>48</v>
      </c>
      <c r="F925" s="2" t="s">
        <v>35</v>
      </c>
      <c r="G925" s="2" t="s">
        <v>124</v>
      </c>
      <c r="H925" s="2" t="s">
        <v>142</v>
      </c>
      <c r="I925" s="2">
        <v>3</v>
      </c>
      <c r="J925" s="2">
        <v>33544</v>
      </c>
      <c r="K925" s="2">
        <v>0</v>
      </c>
      <c r="L925" s="2">
        <v>0</v>
      </c>
      <c r="M925" s="2">
        <v>100632</v>
      </c>
      <c r="N925" s="2" t="s">
        <v>23</v>
      </c>
      <c r="O925" s="2">
        <v>1</v>
      </c>
      <c r="P925" s="2" t="s">
        <v>24</v>
      </c>
    </row>
    <row r="926" spans="1:16" x14ac:dyDescent="0.25">
      <c r="A926" s="4">
        <v>45663</v>
      </c>
      <c r="B926" s="2" t="s">
        <v>1401</v>
      </c>
      <c r="C926" s="2" t="s">
        <v>769</v>
      </c>
      <c r="D926" t="s">
        <v>33</v>
      </c>
      <c r="E926" s="2" t="s">
        <v>34</v>
      </c>
      <c r="F926" s="2" t="s">
        <v>71</v>
      </c>
      <c r="G926" s="2" t="s">
        <v>114</v>
      </c>
      <c r="H926" s="2" t="s">
        <v>115</v>
      </c>
      <c r="I926" s="2">
        <v>1</v>
      </c>
      <c r="J926" s="2">
        <v>1299</v>
      </c>
      <c r="K926" s="2">
        <v>10</v>
      </c>
      <c r="L926" s="2">
        <v>129.9</v>
      </c>
      <c r="M926" s="2">
        <v>1169.0999999999999</v>
      </c>
      <c r="N926" s="2" t="s">
        <v>23</v>
      </c>
      <c r="O926" s="2">
        <v>1</v>
      </c>
      <c r="P926" s="2" t="s">
        <v>24</v>
      </c>
    </row>
    <row r="927" spans="1:16" x14ac:dyDescent="0.25">
      <c r="A927" s="4">
        <v>45664</v>
      </c>
      <c r="B927" s="2" t="s">
        <v>1402</v>
      </c>
      <c r="C927" s="2" t="s">
        <v>389</v>
      </c>
      <c r="D927" t="s">
        <v>84</v>
      </c>
      <c r="E927" s="2" t="s">
        <v>85</v>
      </c>
      <c r="F927" s="2" t="s">
        <v>61</v>
      </c>
      <c r="G927" s="2" t="s">
        <v>150</v>
      </c>
      <c r="H927" s="2" t="s">
        <v>151</v>
      </c>
      <c r="I927" s="2">
        <v>1</v>
      </c>
      <c r="J927" s="2">
        <v>1328</v>
      </c>
      <c r="K927" s="2">
        <v>5</v>
      </c>
      <c r="L927" s="2">
        <v>66.400000000000006</v>
      </c>
      <c r="M927" s="2">
        <v>1261.5999999999999</v>
      </c>
      <c r="N927" s="2" t="s">
        <v>44</v>
      </c>
      <c r="O927" s="2">
        <v>4</v>
      </c>
      <c r="P927" s="2" t="s">
        <v>24</v>
      </c>
    </row>
    <row r="928" spans="1:16" x14ac:dyDescent="0.25">
      <c r="A928" s="4">
        <v>45665</v>
      </c>
      <c r="B928" s="2" t="s">
        <v>1403</v>
      </c>
      <c r="C928" s="2" t="s">
        <v>708</v>
      </c>
      <c r="D928" t="s">
        <v>41</v>
      </c>
      <c r="E928" s="2" t="s">
        <v>19</v>
      </c>
      <c r="F928" s="2" t="s">
        <v>20</v>
      </c>
      <c r="G928" s="2" t="s">
        <v>54</v>
      </c>
      <c r="H928" s="2" t="s">
        <v>441</v>
      </c>
      <c r="I928" s="2">
        <v>2</v>
      </c>
      <c r="J928" s="2">
        <v>2145</v>
      </c>
      <c r="K928" s="2">
        <v>0</v>
      </c>
      <c r="L928" s="2">
        <v>0</v>
      </c>
      <c r="M928" s="2">
        <v>4290</v>
      </c>
      <c r="N928" s="2" t="s">
        <v>44</v>
      </c>
      <c r="O928" s="2">
        <v>6</v>
      </c>
      <c r="P928" s="2" t="s">
        <v>24</v>
      </c>
    </row>
    <row r="929" spans="1:16" x14ac:dyDescent="0.25">
      <c r="A929" s="4">
        <v>45666</v>
      </c>
      <c r="B929" s="2" t="s">
        <v>1404</v>
      </c>
      <c r="C929" s="2" t="s">
        <v>503</v>
      </c>
      <c r="D929" t="s">
        <v>53</v>
      </c>
      <c r="E929" s="2" t="s">
        <v>53</v>
      </c>
      <c r="F929" s="2" t="s">
        <v>71</v>
      </c>
      <c r="G929" s="2" t="s">
        <v>72</v>
      </c>
      <c r="H929" s="2" t="s">
        <v>511</v>
      </c>
      <c r="I929" s="2">
        <v>1</v>
      </c>
      <c r="J929" s="2">
        <v>256</v>
      </c>
      <c r="K929" s="2">
        <v>0</v>
      </c>
      <c r="L929" s="2">
        <v>0</v>
      </c>
      <c r="M929" s="2">
        <v>256</v>
      </c>
      <c r="N929" s="2" t="s">
        <v>56</v>
      </c>
      <c r="O929" s="2">
        <v>4</v>
      </c>
      <c r="P929" s="2" t="s">
        <v>24</v>
      </c>
    </row>
    <row r="930" spans="1:16" x14ac:dyDescent="0.25">
      <c r="A930" s="4">
        <v>45667</v>
      </c>
      <c r="B930" s="2" t="s">
        <v>1405</v>
      </c>
      <c r="C930" s="2" t="s">
        <v>276</v>
      </c>
      <c r="D930" t="s">
        <v>47</v>
      </c>
      <c r="E930" s="2" t="s">
        <v>48</v>
      </c>
      <c r="F930" s="2" t="s">
        <v>35</v>
      </c>
      <c r="G930" s="2" t="s">
        <v>130</v>
      </c>
      <c r="H930" s="2" t="s">
        <v>167</v>
      </c>
      <c r="I930" s="2">
        <v>3</v>
      </c>
      <c r="J930" s="2">
        <v>14184</v>
      </c>
      <c r="K930" s="2">
        <v>20</v>
      </c>
      <c r="L930" s="2">
        <v>8510.4</v>
      </c>
      <c r="M930" s="2">
        <v>34041.599999999999</v>
      </c>
      <c r="N930" s="2" t="s">
        <v>23</v>
      </c>
      <c r="O930" s="2">
        <v>4</v>
      </c>
      <c r="P930" s="2" t="s">
        <v>24</v>
      </c>
    </row>
    <row r="931" spans="1:16" x14ac:dyDescent="0.25">
      <c r="A931" s="4">
        <v>45668</v>
      </c>
      <c r="B931" s="2" t="s">
        <v>1406</v>
      </c>
      <c r="C931" s="2" t="s">
        <v>26</v>
      </c>
      <c r="D931" t="s">
        <v>174</v>
      </c>
      <c r="E931" s="2" t="s">
        <v>60</v>
      </c>
      <c r="F931" s="2" t="s">
        <v>61</v>
      </c>
      <c r="G931" s="2" t="s">
        <v>262</v>
      </c>
      <c r="H931" s="2" t="s">
        <v>755</v>
      </c>
      <c r="I931" s="2">
        <v>1</v>
      </c>
      <c r="J931" s="2">
        <v>1065</v>
      </c>
      <c r="K931" s="2">
        <v>5</v>
      </c>
      <c r="L931" s="2">
        <v>53.25</v>
      </c>
      <c r="M931" s="2">
        <v>1011.75</v>
      </c>
      <c r="N931" s="2" t="s">
        <v>23</v>
      </c>
      <c r="O931" s="2">
        <v>2</v>
      </c>
      <c r="P931" s="2" t="s">
        <v>24</v>
      </c>
    </row>
    <row r="932" spans="1:16" x14ac:dyDescent="0.25">
      <c r="A932" s="4">
        <v>45669</v>
      </c>
      <c r="B932" s="2" t="s">
        <v>1407</v>
      </c>
      <c r="C932" s="2" t="s">
        <v>127</v>
      </c>
      <c r="D932" t="s">
        <v>174</v>
      </c>
      <c r="E932" s="2" t="s">
        <v>60</v>
      </c>
      <c r="F932" s="2" t="s">
        <v>71</v>
      </c>
      <c r="G932" s="2" t="s">
        <v>86</v>
      </c>
      <c r="H932" s="2" t="s">
        <v>616</v>
      </c>
      <c r="I932" s="2">
        <v>1</v>
      </c>
      <c r="J932" s="2">
        <v>1288</v>
      </c>
      <c r="K932" s="2">
        <v>5</v>
      </c>
      <c r="L932" s="2">
        <v>64.400000000000006</v>
      </c>
      <c r="M932" s="2">
        <v>1223.5999999999999</v>
      </c>
      <c r="N932" s="2" t="s">
        <v>38</v>
      </c>
      <c r="O932" s="2">
        <v>2</v>
      </c>
      <c r="P932" s="2" t="s">
        <v>24</v>
      </c>
    </row>
    <row r="933" spans="1:16" x14ac:dyDescent="0.25">
      <c r="A933" s="4">
        <v>45670</v>
      </c>
      <c r="B933" s="2" t="s">
        <v>1408</v>
      </c>
      <c r="C933" s="2" t="s">
        <v>519</v>
      </c>
      <c r="D933" t="s">
        <v>27</v>
      </c>
      <c r="E933" s="2" t="s">
        <v>19</v>
      </c>
      <c r="F933" s="2" t="s">
        <v>20</v>
      </c>
      <c r="G933" s="2" t="s">
        <v>170</v>
      </c>
      <c r="H933" s="2" t="s">
        <v>538</v>
      </c>
      <c r="I933" s="2">
        <v>1</v>
      </c>
      <c r="J933" s="2">
        <v>359</v>
      </c>
      <c r="K933" s="2">
        <v>5</v>
      </c>
      <c r="L933" s="2">
        <v>17.95</v>
      </c>
      <c r="M933" s="2">
        <v>341.05</v>
      </c>
      <c r="N933" s="2" t="s">
        <v>44</v>
      </c>
      <c r="O933" s="2">
        <v>5</v>
      </c>
      <c r="P933" s="2" t="s">
        <v>24</v>
      </c>
    </row>
    <row r="934" spans="1:16" x14ac:dyDescent="0.25">
      <c r="A934" s="4">
        <v>45671</v>
      </c>
      <c r="B934" s="2" t="s">
        <v>1409</v>
      </c>
      <c r="C934" s="2" t="s">
        <v>363</v>
      </c>
      <c r="D934" t="s">
        <v>84</v>
      </c>
      <c r="E934" s="2" t="s">
        <v>85</v>
      </c>
      <c r="F934" s="2" t="s">
        <v>28</v>
      </c>
      <c r="G934" s="2" t="s">
        <v>110</v>
      </c>
      <c r="H934" s="2" t="s">
        <v>253</v>
      </c>
      <c r="I934" s="2">
        <v>2</v>
      </c>
      <c r="J934" s="2">
        <v>2650</v>
      </c>
      <c r="K934" s="2">
        <v>0</v>
      </c>
      <c r="L934" s="2">
        <v>0</v>
      </c>
      <c r="M934" s="2">
        <v>5300</v>
      </c>
      <c r="N934" s="2" t="s">
        <v>44</v>
      </c>
      <c r="O934" s="2">
        <v>2</v>
      </c>
      <c r="P934" s="2" t="s">
        <v>92</v>
      </c>
    </row>
    <row r="935" spans="1:16" x14ac:dyDescent="0.25">
      <c r="A935" s="4">
        <v>45672</v>
      </c>
      <c r="B935" s="2" t="s">
        <v>1410</v>
      </c>
      <c r="C935" s="2" t="s">
        <v>242</v>
      </c>
      <c r="D935" t="s">
        <v>174</v>
      </c>
      <c r="E935" s="2" t="s">
        <v>60</v>
      </c>
      <c r="F935" s="2" t="s">
        <v>61</v>
      </c>
      <c r="G935" s="2" t="s">
        <v>262</v>
      </c>
      <c r="H935" s="2" t="s">
        <v>482</v>
      </c>
      <c r="I935" s="2">
        <v>1</v>
      </c>
      <c r="J935" s="2">
        <v>1414</v>
      </c>
      <c r="K935" s="2">
        <v>15</v>
      </c>
      <c r="L935" s="2">
        <v>212.1</v>
      </c>
      <c r="M935" s="2">
        <v>1201.9000000000001</v>
      </c>
      <c r="N935" s="2" t="s">
        <v>50</v>
      </c>
      <c r="O935" s="2">
        <v>2</v>
      </c>
      <c r="P935" s="2" t="s">
        <v>24</v>
      </c>
    </row>
    <row r="936" spans="1:16" x14ac:dyDescent="0.25">
      <c r="A936" s="4">
        <v>45673</v>
      </c>
      <c r="B936" s="2" t="s">
        <v>1411</v>
      </c>
      <c r="C936" s="2" t="s">
        <v>240</v>
      </c>
      <c r="D936" t="s">
        <v>174</v>
      </c>
      <c r="E936" s="2" t="s">
        <v>60</v>
      </c>
      <c r="F936" s="2" t="s">
        <v>20</v>
      </c>
      <c r="G936" s="2" t="s">
        <v>54</v>
      </c>
      <c r="H936" s="2" t="s">
        <v>55</v>
      </c>
      <c r="I936" s="2">
        <v>1</v>
      </c>
      <c r="J936" s="2">
        <v>3606</v>
      </c>
      <c r="K936" s="2">
        <v>15</v>
      </c>
      <c r="L936" s="2">
        <v>540.9</v>
      </c>
      <c r="M936" s="2">
        <v>3065.1</v>
      </c>
      <c r="N936" s="2" t="s">
        <v>23</v>
      </c>
      <c r="O936" s="2">
        <v>2</v>
      </c>
      <c r="P936" s="2" t="s">
        <v>24</v>
      </c>
    </row>
    <row r="937" spans="1:16" x14ac:dyDescent="0.25">
      <c r="A937" s="4">
        <v>45674</v>
      </c>
      <c r="B937" s="2" t="s">
        <v>1412</v>
      </c>
      <c r="C937" s="2" t="s">
        <v>94</v>
      </c>
      <c r="D937" t="s">
        <v>18</v>
      </c>
      <c r="E937" s="2" t="s">
        <v>19</v>
      </c>
      <c r="F937" s="2" t="s">
        <v>61</v>
      </c>
      <c r="G937" s="2" t="s">
        <v>262</v>
      </c>
      <c r="H937" s="2" t="s">
        <v>767</v>
      </c>
      <c r="I937" s="2">
        <v>3</v>
      </c>
      <c r="J937" s="2">
        <v>1711</v>
      </c>
      <c r="K937" s="2">
        <v>10</v>
      </c>
      <c r="L937" s="2">
        <v>513.29999999999995</v>
      </c>
      <c r="M937" s="2">
        <v>4619.7</v>
      </c>
      <c r="N937" s="2" t="s">
        <v>23</v>
      </c>
      <c r="O937" s="2">
        <v>1</v>
      </c>
      <c r="P937" s="2" t="s">
        <v>24</v>
      </c>
    </row>
    <row r="938" spans="1:16" x14ac:dyDescent="0.25">
      <c r="A938" s="4">
        <v>45675</v>
      </c>
      <c r="B938" s="2" t="s">
        <v>1413</v>
      </c>
      <c r="C938" s="2" t="s">
        <v>641</v>
      </c>
      <c r="D938" t="s">
        <v>33</v>
      </c>
      <c r="E938" s="2" t="s">
        <v>34</v>
      </c>
      <c r="F938" s="2" t="s">
        <v>61</v>
      </c>
      <c r="G938" s="2" t="s">
        <v>262</v>
      </c>
      <c r="H938" s="2" t="s">
        <v>482</v>
      </c>
      <c r="I938" s="2">
        <v>3</v>
      </c>
      <c r="J938" s="2">
        <v>1989</v>
      </c>
      <c r="K938" s="2">
        <v>5</v>
      </c>
      <c r="L938" s="2">
        <v>298.35000000000002</v>
      </c>
      <c r="M938" s="2">
        <v>5668.65</v>
      </c>
      <c r="N938" s="2" t="s">
        <v>44</v>
      </c>
      <c r="O938" s="2">
        <v>5</v>
      </c>
      <c r="P938" s="2" t="s">
        <v>92</v>
      </c>
    </row>
    <row r="939" spans="1:16" x14ac:dyDescent="0.25">
      <c r="A939" s="4">
        <v>45676</v>
      </c>
      <c r="B939" s="2" t="s">
        <v>1414</v>
      </c>
      <c r="C939" s="2" t="s">
        <v>177</v>
      </c>
      <c r="D939" t="s">
        <v>84</v>
      </c>
      <c r="E939" s="2" t="s">
        <v>85</v>
      </c>
      <c r="F939" s="2" t="s">
        <v>28</v>
      </c>
      <c r="G939" s="2" t="s">
        <v>289</v>
      </c>
      <c r="H939" s="2" t="s">
        <v>290</v>
      </c>
      <c r="I939" s="2">
        <v>1</v>
      </c>
      <c r="J939" s="2">
        <v>4314</v>
      </c>
      <c r="K939" s="2">
        <v>0</v>
      </c>
      <c r="L939" s="2">
        <v>0</v>
      </c>
      <c r="M939" s="2">
        <v>4314</v>
      </c>
      <c r="N939" s="2" t="s">
        <v>23</v>
      </c>
      <c r="O939" s="2">
        <v>1</v>
      </c>
      <c r="P939" s="2" t="s">
        <v>24</v>
      </c>
    </row>
    <row r="940" spans="1:16" x14ac:dyDescent="0.25">
      <c r="A940" s="4">
        <v>45677</v>
      </c>
      <c r="B940" s="2" t="s">
        <v>1415</v>
      </c>
      <c r="C940" s="2" t="s">
        <v>1478</v>
      </c>
      <c r="D940" t="s">
        <v>33</v>
      </c>
      <c r="E940" s="2" t="s">
        <v>34</v>
      </c>
      <c r="F940" s="2" t="s">
        <v>35</v>
      </c>
      <c r="G940" s="2" t="s">
        <v>36</v>
      </c>
      <c r="H940" s="2" t="s">
        <v>98</v>
      </c>
      <c r="I940" s="2">
        <v>2</v>
      </c>
      <c r="J940" s="2">
        <v>7396</v>
      </c>
      <c r="K940" s="2">
        <v>10</v>
      </c>
      <c r="L940" s="2">
        <v>1479.2</v>
      </c>
      <c r="M940" s="2">
        <v>13312.8</v>
      </c>
      <c r="N940" s="2" t="s">
        <v>23</v>
      </c>
      <c r="O940" s="2">
        <v>3</v>
      </c>
      <c r="P940" s="2" t="s">
        <v>24</v>
      </c>
    </row>
    <row r="941" spans="1:16" x14ac:dyDescent="0.25">
      <c r="A941" s="4">
        <v>45678</v>
      </c>
      <c r="B941" s="2" t="s">
        <v>1416</v>
      </c>
      <c r="C941" s="2" t="s">
        <v>667</v>
      </c>
      <c r="D941" t="s">
        <v>27</v>
      </c>
      <c r="E941" s="2" t="s">
        <v>19</v>
      </c>
      <c r="F941" s="2" t="s">
        <v>71</v>
      </c>
      <c r="G941" s="2" t="s">
        <v>72</v>
      </c>
      <c r="H941" s="2" t="s">
        <v>266</v>
      </c>
      <c r="I941" s="2">
        <v>1</v>
      </c>
      <c r="J941" s="2">
        <v>120</v>
      </c>
      <c r="K941" s="2">
        <v>10</v>
      </c>
      <c r="L941" s="2">
        <v>12</v>
      </c>
      <c r="M941" s="2">
        <v>108</v>
      </c>
      <c r="N941" s="2" t="s">
        <v>44</v>
      </c>
      <c r="O941" s="2">
        <v>7</v>
      </c>
      <c r="P941" s="2" t="s">
        <v>24</v>
      </c>
    </row>
    <row r="942" spans="1:16" x14ac:dyDescent="0.25">
      <c r="A942" s="4">
        <v>45679</v>
      </c>
      <c r="B942" s="2" t="s">
        <v>1417</v>
      </c>
      <c r="C942" s="2" t="s">
        <v>102</v>
      </c>
      <c r="D942" t="s">
        <v>174</v>
      </c>
      <c r="E942" s="2" t="s">
        <v>60</v>
      </c>
      <c r="F942" s="2" t="s">
        <v>35</v>
      </c>
      <c r="G942" s="2" t="s">
        <v>80</v>
      </c>
      <c r="H942" s="2" t="s">
        <v>214</v>
      </c>
      <c r="I942" s="2">
        <v>1</v>
      </c>
      <c r="J942" s="2">
        <v>1267</v>
      </c>
      <c r="K942" s="2">
        <v>0</v>
      </c>
      <c r="L942" s="2">
        <v>0</v>
      </c>
      <c r="M942" s="2">
        <v>1267</v>
      </c>
      <c r="N942" s="2" t="s">
        <v>44</v>
      </c>
      <c r="O942" s="2">
        <v>6</v>
      </c>
      <c r="P942" s="2" t="s">
        <v>24</v>
      </c>
    </row>
    <row r="943" spans="1:16" x14ac:dyDescent="0.25">
      <c r="A943" s="4">
        <v>45680</v>
      </c>
      <c r="B943" s="2" t="s">
        <v>1418</v>
      </c>
      <c r="C943" s="2" t="s">
        <v>796</v>
      </c>
      <c r="D943" t="s">
        <v>41</v>
      </c>
      <c r="E943" s="2" t="s">
        <v>19</v>
      </c>
      <c r="F943" s="2" t="s">
        <v>20</v>
      </c>
      <c r="G943" s="2" t="s">
        <v>42</v>
      </c>
      <c r="H943" s="2" t="s">
        <v>133</v>
      </c>
      <c r="I943" s="2">
        <v>1</v>
      </c>
      <c r="J943" s="2">
        <v>7868</v>
      </c>
      <c r="K943" s="2">
        <v>20</v>
      </c>
      <c r="L943" s="2">
        <v>1573.6</v>
      </c>
      <c r="M943" s="2">
        <v>6294.4</v>
      </c>
      <c r="N943" s="2" t="s">
        <v>23</v>
      </c>
      <c r="O943" s="2">
        <v>2</v>
      </c>
      <c r="P943" s="2" t="s">
        <v>24</v>
      </c>
    </row>
    <row r="944" spans="1:16" x14ac:dyDescent="0.25">
      <c r="A944" s="4">
        <v>45681</v>
      </c>
      <c r="B944" s="2" t="s">
        <v>1419</v>
      </c>
      <c r="C944" s="2" t="s">
        <v>391</v>
      </c>
      <c r="D944" t="s">
        <v>66</v>
      </c>
      <c r="E944" s="2" t="s">
        <v>19</v>
      </c>
      <c r="F944" s="2" t="s">
        <v>35</v>
      </c>
      <c r="G944" s="2" t="s">
        <v>130</v>
      </c>
      <c r="H944" s="2" t="s">
        <v>131</v>
      </c>
      <c r="I944" s="2">
        <v>1</v>
      </c>
      <c r="J944" s="2">
        <v>24448</v>
      </c>
      <c r="K944" s="2">
        <v>0</v>
      </c>
      <c r="L944" s="2">
        <v>0</v>
      </c>
      <c r="M944" s="2">
        <v>24448</v>
      </c>
      <c r="N944" s="2" t="s">
        <v>23</v>
      </c>
      <c r="O944" s="2">
        <v>2</v>
      </c>
      <c r="P944" s="2" t="s">
        <v>24</v>
      </c>
    </row>
    <row r="945" spans="1:16" x14ac:dyDescent="0.25">
      <c r="A945" s="4">
        <v>45682</v>
      </c>
      <c r="B945" s="2" t="s">
        <v>1420</v>
      </c>
      <c r="C945" s="2" t="s">
        <v>185</v>
      </c>
      <c r="D945" t="s">
        <v>27</v>
      </c>
      <c r="E945" s="2" t="s">
        <v>19</v>
      </c>
      <c r="F945" s="2" t="s">
        <v>20</v>
      </c>
      <c r="G945" s="2" t="s">
        <v>21</v>
      </c>
      <c r="H945" s="2" t="s">
        <v>49</v>
      </c>
      <c r="I945" s="2">
        <v>1</v>
      </c>
      <c r="J945" s="2">
        <v>7996</v>
      </c>
      <c r="K945" s="2">
        <v>0</v>
      </c>
      <c r="L945" s="2">
        <v>0</v>
      </c>
      <c r="M945" s="2">
        <v>7996</v>
      </c>
      <c r="N945" s="2" t="s">
        <v>44</v>
      </c>
      <c r="O945" s="2">
        <v>8</v>
      </c>
      <c r="P945" s="2" t="s">
        <v>24</v>
      </c>
    </row>
    <row r="946" spans="1:16" x14ac:dyDescent="0.25">
      <c r="A946" s="4">
        <v>45683</v>
      </c>
      <c r="B946" s="2" t="s">
        <v>1421</v>
      </c>
      <c r="C946" s="2" t="s">
        <v>881</v>
      </c>
      <c r="D946" t="s">
        <v>18</v>
      </c>
      <c r="E946" s="2" t="s">
        <v>19</v>
      </c>
      <c r="F946" s="2" t="s">
        <v>28</v>
      </c>
      <c r="G946" s="2" t="s">
        <v>289</v>
      </c>
      <c r="H946" s="2" t="s">
        <v>290</v>
      </c>
      <c r="I946" s="2">
        <v>1</v>
      </c>
      <c r="J946" s="2">
        <v>4746</v>
      </c>
      <c r="K946" s="2">
        <v>5</v>
      </c>
      <c r="L946" s="2">
        <v>237.3</v>
      </c>
      <c r="M946" s="2">
        <v>4508.7</v>
      </c>
      <c r="N946" s="2" t="s">
        <v>23</v>
      </c>
      <c r="O946" s="2">
        <v>4</v>
      </c>
      <c r="P946" s="2" t="s">
        <v>24</v>
      </c>
    </row>
    <row r="947" spans="1:16" x14ac:dyDescent="0.25">
      <c r="A947" s="4">
        <v>45684</v>
      </c>
      <c r="B947" s="2" t="s">
        <v>1422</v>
      </c>
      <c r="C947" s="2" t="s">
        <v>575</v>
      </c>
      <c r="D947" t="s">
        <v>47</v>
      </c>
      <c r="E947" s="2" t="s">
        <v>48</v>
      </c>
      <c r="F947" s="2" t="s">
        <v>28</v>
      </c>
      <c r="G947" s="2" t="s">
        <v>110</v>
      </c>
      <c r="H947" s="2" t="s">
        <v>317</v>
      </c>
      <c r="I947" s="2">
        <v>1</v>
      </c>
      <c r="J947" s="2">
        <v>1645</v>
      </c>
      <c r="K947" s="2">
        <v>15</v>
      </c>
      <c r="L947" s="2">
        <v>246.75</v>
      </c>
      <c r="M947" s="2">
        <v>1398.25</v>
      </c>
      <c r="N947" s="2" t="s">
        <v>23</v>
      </c>
      <c r="O947" s="2">
        <v>5</v>
      </c>
      <c r="P947" s="2" t="s">
        <v>24</v>
      </c>
    </row>
    <row r="948" spans="1:16" x14ac:dyDescent="0.25">
      <c r="A948" s="4">
        <v>45685</v>
      </c>
      <c r="B948" s="2" t="s">
        <v>1423</v>
      </c>
      <c r="C948" s="2" t="s">
        <v>465</v>
      </c>
      <c r="D948" t="s">
        <v>59</v>
      </c>
      <c r="E948" s="2" t="s">
        <v>60</v>
      </c>
      <c r="F948" s="2" t="s">
        <v>71</v>
      </c>
      <c r="G948" s="2" t="s">
        <v>106</v>
      </c>
      <c r="H948" s="2" t="s">
        <v>183</v>
      </c>
      <c r="I948" s="2">
        <v>1</v>
      </c>
      <c r="J948" s="2">
        <v>564</v>
      </c>
      <c r="K948" s="2">
        <v>10</v>
      </c>
      <c r="L948" s="2">
        <v>56.4</v>
      </c>
      <c r="M948" s="2">
        <v>507.6</v>
      </c>
      <c r="N948" s="2" t="s">
        <v>56</v>
      </c>
      <c r="O948" s="2">
        <v>2</v>
      </c>
      <c r="P948" s="2" t="s">
        <v>24</v>
      </c>
    </row>
    <row r="949" spans="1:16" x14ac:dyDescent="0.25">
      <c r="A949" s="4">
        <v>45686</v>
      </c>
      <c r="B949" s="2" t="s">
        <v>1424</v>
      </c>
      <c r="C949" s="2" t="s">
        <v>590</v>
      </c>
      <c r="D949" t="s">
        <v>18</v>
      </c>
      <c r="E949" s="2" t="s">
        <v>19</v>
      </c>
      <c r="F949" s="2" t="s">
        <v>61</v>
      </c>
      <c r="G949" s="2" t="s">
        <v>62</v>
      </c>
      <c r="H949" s="2" t="s">
        <v>156</v>
      </c>
      <c r="I949" s="2">
        <v>1</v>
      </c>
      <c r="J949" s="2">
        <v>1760</v>
      </c>
      <c r="K949" s="2">
        <v>10</v>
      </c>
      <c r="L949" s="2">
        <v>176</v>
      </c>
      <c r="M949" s="2">
        <v>1584</v>
      </c>
      <c r="N949" s="2" t="s">
        <v>50</v>
      </c>
      <c r="O949" s="2">
        <v>2</v>
      </c>
      <c r="P949" s="2" t="s">
        <v>24</v>
      </c>
    </row>
    <row r="950" spans="1:16" x14ac:dyDescent="0.25">
      <c r="A950" s="4">
        <v>45687</v>
      </c>
      <c r="B950" s="2" t="s">
        <v>1425</v>
      </c>
      <c r="C950" s="2" t="s">
        <v>528</v>
      </c>
      <c r="D950" t="s">
        <v>53</v>
      </c>
      <c r="E950" s="2" t="s">
        <v>53</v>
      </c>
      <c r="F950" s="2" t="s">
        <v>20</v>
      </c>
      <c r="G950" s="2" t="s">
        <v>21</v>
      </c>
      <c r="H950" s="2" t="s">
        <v>121</v>
      </c>
      <c r="I950" s="2">
        <v>1</v>
      </c>
      <c r="J950" s="2">
        <v>1986</v>
      </c>
      <c r="K950" s="2">
        <v>10</v>
      </c>
      <c r="L950" s="2">
        <v>198.6</v>
      </c>
      <c r="M950" s="2">
        <v>1787.4</v>
      </c>
      <c r="N950" s="2" t="s">
        <v>44</v>
      </c>
      <c r="O950" s="2">
        <v>2</v>
      </c>
      <c r="P950" s="2" t="s">
        <v>24</v>
      </c>
    </row>
    <row r="951" spans="1:16" x14ac:dyDescent="0.25">
      <c r="A951" s="4">
        <v>45688</v>
      </c>
      <c r="B951" s="2" t="s">
        <v>1426</v>
      </c>
      <c r="C951" s="2" t="s">
        <v>625</v>
      </c>
      <c r="D951" t="s">
        <v>33</v>
      </c>
      <c r="E951" s="2" t="s">
        <v>34</v>
      </c>
      <c r="F951" s="2" t="s">
        <v>71</v>
      </c>
      <c r="G951" s="2" t="s">
        <v>106</v>
      </c>
      <c r="H951" s="2" t="s">
        <v>107</v>
      </c>
      <c r="I951" s="2">
        <v>1</v>
      </c>
      <c r="J951" s="2">
        <v>1299</v>
      </c>
      <c r="K951" s="2">
        <v>5</v>
      </c>
      <c r="L951" s="2">
        <v>64.95</v>
      </c>
      <c r="M951" s="2">
        <v>1234.05</v>
      </c>
      <c r="N951" s="2" t="s">
        <v>23</v>
      </c>
      <c r="O951" s="2">
        <v>5</v>
      </c>
      <c r="P951" s="2" t="s">
        <v>24</v>
      </c>
    </row>
    <row r="952" spans="1:16" x14ac:dyDescent="0.25">
      <c r="A952" s="4">
        <v>45689</v>
      </c>
      <c r="B952" s="2" t="s">
        <v>1427</v>
      </c>
      <c r="C952" s="2" t="s">
        <v>233</v>
      </c>
      <c r="D952" t="s">
        <v>18</v>
      </c>
      <c r="E952" s="2" t="s">
        <v>19</v>
      </c>
      <c r="F952" s="2" t="s">
        <v>61</v>
      </c>
      <c r="G952" s="2" t="s">
        <v>200</v>
      </c>
      <c r="H952" s="2" t="s">
        <v>587</v>
      </c>
      <c r="I952" s="2">
        <v>1</v>
      </c>
      <c r="J952" s="2">
        <v>1603</v>
      </c>
      <c r="K952" s="2">
        <v>15</v>
      </c>
      <c r="L952" s="2">
        <v>240.45</v>
      </c>
      <c r="M952" s="2">
        <v>1362.55</v>
      </c>
      <c r="N952" s="2" t="s">
        <v>50</v>
      </c>
      <c r="O952" s="2">
        <v>2</v>
      </c>
      <c r="P952" s="2" t="s">
        <v>24</v>
      </c>
    </row>
    <row r="953" spans="1:16" x14ac:dyDescent="0.25">
      <c r="A953" s="4">
        <v>45690</v>
      </c>
      <c r="B953" s="2" t="s">
        <v>1428</v>
      </c>
      <c r="C953" s="2" t="s">
        <v>824</v>
      </c>
      <c r="D953" t="s">
        <v>33</v>
      </c>
      <c r="E953" s="2" t="s">
        <v>34</v>
      </c>
      <c r="F953" s="2" t="s">
        <v>71</v>
      </c>
      <c r="G953" s="2" t="s">
        <v>86</v>
      </c>
      <c r="H953" s="2" t="s">
        <v>203</v>
      </c>
      <c r="I953" s="2">
        <v>1</v>
      </c>
      <c r="J953" s="2">
        <v>1356</v>
      </c>
      <c r="K953" s="2">
        <v>0</v>
      </c>
      <c r="L953" s="2">
        <v>0</v>
      </c>
      <c r="M953" s="2">
        <v>1356</v>
      </c>
      <c r="N953" s="2" t="s">
        <v>44</v>
      </c>
      <c r="O953" s="2">
        <v>5</v>
      </c>
      <c r="P953" s="2" t="s">
        <v>24</v>
      </c>
    </row>
    <row r="954" spans="1:16" x14ac:dyDescent="0.25">
      <c r="A954" s="4">
        <v>45691</v>
      </c>
      <c r="B954" s="2" t="s">
        <v>1429</v>
      </c>
      <c r="C954" s="2" t="s">
        <v>855</v>
      </c>
      <c r="D954" t="s">
        <v>59</v>
      </c>
      <c r="E954" s="2" t="s">
        <v>60</v>
      </c>
      <c r="F954" s="2" t="s">
        <v>20</v>
      </c>
      <c r="G954" s="2" t="s">
        <v>139</v>
      </c>
      <c r="H954" s="2" t="s">
        <v>140</v>
      </c>
      <c r="I954" s="2">
        <v>1</v>
      </c>
      <c r="J954" s="2">
        <v>5098</v>
      </c>
      <c r="K954" s="2">
        <v>5</v>
      </c>
      <c r="L954" s="2">
        <v>254.9</v>
      </c>
      <c r="M954" s="2">
        <v>4843.1000000000004</v>
      </c>
      <c r="N954" s="2" t="s">
        <v>56</v>
      </c>
      <c r="O954" s="2">
        <v>1</v>
      </c>
      <c r="P954" s="2" t="s">
        <v>24</v>
      </c>
    </row>
    <row r="955" spans="1:16" x14ac:dyDescent="0.25">
      <c r="A955" s="4">
        <v>45692</v>
      </c>
      <c r="B955" s="2" t="s">
        <v>1430</v>
      </c>
      <c r="C955" s="2" t="s">
        <v>306</v>
      </c>
      <c r="D955" t="s">
        <v>27</v>
      </c>
      <c r="E955" s="2" t="s">
        <v>19</v>
      </c>
      <c r="F955" s="2" t="s">
        <v>71</v>
      </c>
      <c r="G955" s="2" t="s">
        <v>86</v>
      </c>
      <c r="H955" s="2" t="s">
        <v>87</v>
      </c>
      <c r="I955" s="2">
        <v>1</v>
      </c>
      <c r="J955" s="2">
        <v>1259</v>
      </c>
      <c r="K955" s="2">
        <v>15</v>
      </c>
      <c r="L955" s="2">
        <v>188.85</v>
      </c>
      <c r="M955" s="2">
        <v>1070.1500000000001</v>
      </c>
      <c r="N955" s="2" t="s">
        <v>56</v>
      </c>
      <c r="O955" s="2">
        <v>1</v>
      </c>
      <c r="P955" s="2" t="s">
        <v>24</v>
      </c>
    </row>
    <row r="956" spans="1:16" x14ac:dyDescent="0.25">
      <c r="A956" s="4">
        <v>45693</v>
      </c>
      <c r="B956" s="2" t="s">
        <v>1431</v>
      </c>
      <c r="C956" s="2" t="s">
        <v>537</v>
      </c>
      <c r="D956" t="s">
        <v>53</v>
      </c>
      <c r="E956" s="2" t="s">
        <v>53</v>
      </c>
      <c r="F956" s="2" t="s">
        <v>20</v>
      </c>
      <c r="G956" s="2" t="s">
        <v>42</v>
      </c>
      <c r="H956" s="2" t="s">
        <v>221</v>
      </c>
      <c r="I956" s="2">
        <v>1</v>
      </c>
      <c r="J956" s="2">
        <v>3145</v>
      </c>
      <c r="K956" s="2">
        <v>15</v>
      </c>
      <c r="L956" s="2">
        <v>471.75</v>
      </c>
      <c r="M956" s="2">
        <v>2673.25</v>
      </c>
      <c r="N956" s="2" t="s">
        <v>56</v>
      </c>
      <c r="O956" s="2">
        <v>3</v>
      </c>
      <c r="P956" s="2" t="s">
        <v>24</v>
      </c>
    </row>
    <row r="957" spans="1:16" x14ac:dyDescent="0.25">
      <c r="A957" s="4">
        <v>45694</v>
      </c>
      <c r="B957" s="2" t="s">
        <v>1432</v>
      </c>
      <c r="C957" s="2" t="s">
        <v>490</v>
      </c>
      <c r="D957" t="s">
        <v>18</v>
      </c>
      <c r="E957" s="2" t="s">
        <v>19</v>
      </c>
      <c r="F957" s="2" t="s">
        <v>28</v>
      </c>
      <c r="G957" s="2" t="s">
        <v>29</v>
      </c>
      <c r="H957" s="2" t="s">
        <v>488</v>
      </c>
      <c r="I957" s="2">
        <v>1</v>
      </c>
      <c r="J957" s="2">
        <v>1209</v>
      </c>
      <c r="K957" s="2">
        <v>10</v>
      </c>
      <c r="L957" s="2">
        <v>120.9</v>
      </c>
      <c r="M957" s="2">
        <v>1088.0999999999999</v>
      </c>
      <c r="N957" s="2" t="s">
        <v>44</v>
      </c>
      <c r="O957" s="2">
        <v>3</v>
      </c>
      <c r="P957" s="2" t="s">
        <v>24</v>
      </c>
    </row>
    <row r="958" spans="1:16" x14ac:dyDescent="0.25">
      <c r="A958" s="4">
        <v>45695</v>
      </c>
      <c r="B958" s="2" t="s">
        <v>1433</v>
      </c>
      <c r="C958" s="2" t="s">
        <v>494</v>
      </c>
      <c r="D958" t="s">
        <v>53</v>
      </c>
      <c r="E958" s="2" t="s">
        <v>53</v>
      </c>
      <c r="F958" s="2" t="s">
        <v>20</v>
      </c>
      <c r="G958" s="2" t="s">
        <v>170</v>
      </c>
      <c r="H958" s="2" t="s">
        <v>286</v>
      </c>
      <c r="I958" s="2">
        <v>1</v>
      </c>
      <c r="J958" s="2">
        <v>2015</v>
      </c>
      <c r="K958" s="2">
        <v>10</v>
      </c>
      <c r="L958" s="2">
        <v>201.5</v>
      </c>
      <c r="M958" s="2">
        <v>1813.5</v>
      </c>
      <c r="N958" s="2" t="s">
        <v>44</v>
      </c>
      <c r="O958" s="2">
        <v>4</v>
      </c>
      <c r="P958" s="2" t="s">
        <v>24</v>
      </c>
    </row>
    <row r="959" spans="1:16" x14ac:dyDescent="0.25">
      <c r="A959" s="4">
        <v>45696</v>
      </c>
      <c r="B959" s="2" t="s">
        <v>1434</v>
      </c>
      <c r="C959" s="2" t="s">
        <v>1478</v>
      </c>
      <c r="D959" t="s">
        <v>33</v>
      </c>
      <c r="E959" s="2" t="s">
        <v>34</v>
      </c>
      <c r="F959" s="2" t="s">
        <v>20</v>
      </c>
      <c r="G959" s="2" t="s">
        <v>139</v>
      </c>
      <c r="H959" s="2" t="s">
        <v>646</v>
      </c>
      <c r="I959" s="2">
        <v>1</v>
      </c>
      <c r="J959" s="2">
        <v>7088</v>
      </c>
      <c r="K959" s="2">
        <v>15</v>
      </c>
      <c r="L959" s="2">
        <v>1063.2</v>
      </c>
      <c r="M959" s="2">
        <v>6024.8</v>
      </c>
      <c r="N959" s="2" t="s">
        <v>23</v>
      </c>
      <c r="O959" s="2">
        <v>2</v>
      </c>
      <c r="P959" s="2" t="s">
        <v>24</v>
      </c>
    </row>
    <row r="960" spans="1:16" x14ac:dyDescent="0.25">
      <c r="A960" s="4">
        <v>45697</v>
      </c>
      <c r="B960" s="2" t="s">
        <v>1435</v>
      </c>
      <c r="C960" s="2" t="s">
        <v>258</v>
      </c>
      <c r="D960" t="s">
        <v>174</v>
      </c>
      <c r="E960" s="2" t="s">
        <v>60</v>
      </c>
      <c r="F960" s="2" t="s">
        <v>61</v>
      </c>
      <c r="G960" s="2" t="s">
        <v>62</v>
      </c>
      <c r="H960" s="2" t="s">
        <v>63</v>
      </c>
      <c r="I960" s="2">
        <v>2</v>
      </c>
      <c r="J960" s="2">
        <v>1800</v>
      </c>
      <c r="K960" s="2">
        <v>15</v>
      </c>
      <c r="L960" s="2">
        <v>540</v>
      </c>
      <c r="M960" s="2">
        <v>3060</v>
      </c>
      <c r="N960" s="2" t="s">
        <v>44</v>
      </c>
      <c r="O960" s="2">
        <v>6</v>
      </c>
      <c r="P960" s="2" t="s">
        <v>24</v>
      </c>
    </row>
    <row r="961" spans="1:16" x14ac:dyDescent="0.25">
      <c r="A961" s="4">
        <v>45698</v>
      </c>
      <c r="B961" s="2" t="s">
        <v>1436</v>
      </c>
      <c r="C961" s="2" t="s">
        <v>97</v>
      </c>
      <c r="D961" t="s">
        <v>41</v>
      </c>
      <c r="E961" s="2" t="s">
        <v>19</v>
      </c>
      <c r="F961" s="2" t="s">
        <v>20</v>
      </c>
      <c r="G961" s="2" t="s">
        <v>42</v>
      </c>
      <c r="H961" s="2" t="s">
        <v>221</v>
      </c>
      <c r="I961" s="2">
        <v>1</v>
      </c>
      <c r="J961" s="2">
        <v>1757</v>
      </c>
      <c r="K961" s="2">
        <v>10</v>
      </c>
      <c r="L961" s="2">
        <v>175.7</v>
      </c>
      <c r="M961" s="2">
        <v>1581.3</v>
      </c>
      <c r="N961" s="2" t="s">
        <v>23</v>
      </c>
      <c r="O961" s="2">
        <v>1</v>
      </c>
      <c r="P961" s="2" t="s">
        <v>24</v>
      </c>
    </row>
    <row r="962" spans="1:16" x14ac:dyDescent="0.25">
      <c r="A962" s="4">
        <v>45699</v>
      </c>
      <c r="B962" s="2" t="s">
        <v>1437</v>
      </c>
      <c r="C962" s="2" t="s">
        <v>1085</v>
      </c>
      <c r="D962" t="s">
        <v>84</v>
      </c>
      <c r="E962" s="2" t="s">
        <v>85</v>
      </c>
      <c r="F962" s="2" t="s">
        <v>28</v>
      </c>
      <c r="G962" s="2" t="s">
        <v>289</v>
      </c>
      <c r="H962" s="2" t="s">
        <v>290</v>
      </c>
      <c r="I962" s="2">
        <v>1</v>
      </c>
      <c r="J962" s="2">
        <v>3555</v>
      </c>
      <c r="K962" s="2">
        <v>10</v>
      </c>
      <c r="L962" s="2">
        <v>355.5</v>
      </c>
      <c r="M962" s="2">
        <v>3199.5</v>
      </c>
      <c r="N962" s="2" t="s">
        <v>38</v>
      </c>
      <c r="O962" s="2">
        <v>2</v>
      </c>
      <c r="P962" s="2" t="s">
        <v>24</v>
      </c>
    </row>
    <row r="963" spans="1:16" x14ac:dyDescent="0.25">
      <c r="A963" s="4">
        <v>45700</v>
      </c>
      <c r="B963" s="2" t="s">
        <v>1438</v>
      </c>
      <c r="C963" s="2" t="s">
        <v>525</v>
      </c>
      <c r="D963" t="s">
        <v>18</v>
      </c>
      <c r="E963" s="2" t="s">
        <v>19</v>
      </c>
      <c r="F963" s="2" t="s">
        <v>28</v>
      </c>
      <c r="G963" s="2" t="s">
        <v>29</v>
      </c>
      <c r="H963" s="2" t="s">
        <v>488</v>
      </c>
      <c r="I963" s="2">
        <v>1</v>
      </c>
      <c r="J963" s="2">
        <v>615</v>
      </c>
      <c r="K963" s="2">
        <v>20</v>
      </c>
      <c r="L963" s="2">
        <v>123</v>
      </c>
      <c r="M963" s="2">
        <v>492</v>
      </c>
      <c r="N963" s="2" t="s">
        <v>23</v>
      </c>
      <c r="O963" s="2">
        <v>2</v>
      </c>
      <c r="P963" s="2" t="s">
        <v>24</v>
      </c>
    </row>
    <row r="964" spans="1:16" x14ac:dyDescent="0.25">
      <c r="A964" s="4">
        <v>45701</v>
      </c>
      <c r="B964" s="2" t="s">
        <v>1439</v>
      </c>
      <c r="C964" s="2" t="s">
        <v>1124</v>
      </c>
      <c r="D964" t="s">
        <v>174</v>
      </c>
      <c r="E964" s="2" t="s">
        <v>60</v>
      </c>
      <c r="F964" s="2" t="s">
        <v>35</v>
      </c>
      <c r="G964" s="2" t="s">
        <v>130</v>
      </c>
      <c r="H964" s="2" t="s">
        <v>198</v>
      </c>
      <c r="I964" s="2">
        <v>3</v>
      </c>
      <c r="J964" s="2">
        <v>32171</v>
      </c>
      <c r="K964" s="2">
        <v>20</v>
      </c>
      <c r="L964" s="2">
        <v>19302.599999999999</v>
      </c>
      <c r="M964" s="2">
        <v>77210.399999999994</v>
      </c>
      <c r="N964" s="2" t="s">
        <v>23</v>
      </c>
      <c r="O964" s="2">
        <v>2</v>
      </c>
      <c r="P964" s="2" t="s">
        <v>24</v>
      </c>
    </row>
    <row r="965" spans="1:16" x14ac:dyDescent="0.25">
      <c r="A965" s="4">
        <v>45702</v>
      </c>
      <c r="B965" s="2" t="s">
        <v>1440</v>
      </c>
      <c r="C965" s="2" t="s">
        <v>1441</v>
      </c>
      <c r="D965" t="s">
        <v>59</v>
      </c>
      <c r="E965" s="2" t="s">
        <v>60</v>
      </c>
      <c r="F965" s="2" t="s">
        <v>71</v>
      </c>
      <c r="G965" s="2" t="s">
        <v>106</v>
      </c>
      <c r="H965" s="2" t="s">
        <v>1120</v>
      </c>
      <c r="I965" s="2">
        <v>2</v>
      </c>
      <c r="J965" s="2">
        <v>796</v>
      </c>
      <c r="K965" s="2">
        <v>15</v>
      </c>
      <c r="L965" s="2">
        <v>238.8</v>
      </c>
      <c r="M965" s="2">
        <v>1353.2</v>
      </c>
      <c r="N965" s="2" t="s">
        <v>44</v>
      </c>
      <c r="O965" s="2">
        <v>3</v>
      </c>
      <c r="P965" s="2" t="s">
        <v>24</v>
      </c>
    </row>
    <row r="966" spans="1:16" x14ac:dyDescent="0.25">
      <c r="A966" s="4">
        <v>45703</v>
      </c>
      <c r="B966" s="2" t="s">
        <v>1442</v>
      </c>
      <c r="C966" s="2" t="s">
        <v>598</v>
      </c>
      <c r="D966" t="s">
        <v>47</v>
      </c>
      <c r="E966" s="2" t="s">
        <v>48</v>
      </c>
      <c r="F966" s="2" t="s">
        <v>28</v>
      </c>
      <c r="G966" s="2" t="s">
        <v>29</v>
      </c>
      <c r="H966" s="2" t="s">
        <v>477</v>
      </c>
      <c r="I966" s="2">
        <v>1</v>
      </c>
      <c r="J966" s="2">
        <v>4297</v>
      </c>
      <c r="K966" s="2">
        <v>15</v>
      </c>
      <c r="L966" s="2">
        <v>644.54999999999995</v>
      </c>
      <c r="M966" s="2">
        <v>3652.45</v>
      </c>
      <c r="N966" s="2" t="s">
        <v>56</v>
      </c>
      <c r="O966" s="2">
        <v>3</v>
      </c>
      <c r="P966" s="2" t="s">
        <v>24</v>
      </c>
    </row>
    <row r="967" spans="1:16" x14ac:dyDescent="0.25">
      <c r="A967" s="4">
        <v>45704</v>
      </c>
      <c r="B967" s="2" t="s">
        <v>1443</v>
      </c>
      <c r="C967" s="2" t="s">
        <v>205</v>
      </c>
      <c r="D967" t="s">
        <v>53</v>
      </c>
      <c r="E967" s="2" t="s">
        <v>53</v>
      </c>
      <c r="F967" s="2" t="s">
        <v>61</v>
      </c>
      <c r="G967" s="2" t="s">
        <v>200</v>
      </c>
      <c r="H967" s="2" t="s">
        <v>473</v>
      </c>
      <c r="I967" s="2">
        <v>2</v>
      </c>
      <c r="J967" s="2">
        <v>1360</v>
      </c>
      <c r="K967" s="2">
        <v>0</v>
      </c>
      <c r="L967" s="2">
        <v>0</v>
      </c>
      <c r="M967" s="2">
        <v>2720</v>
      </c>
      <c r="N967" s="2" t="s">
        <v>38</v>
      </c>
      <c r="O967" s="2">
        <v>1</v>
      </c>
      <c r="P967" s="2" t="s">
        <v>24</v>
      </c>
    </row>
    <row r="968" spans="1:16" x14ac:dyDescent="0.25">
      <c r="A968" s="4">
        <v>45705</v>
      </c>
      <c r="B968" s="2" t="s">
        <v>1444</v>
      </c>
      <c r="C968" s="2" t="s">
        <v>443</v>
      </c>
      <c r="D968" t="s">
        <v>18</v>
      </c>
      <c r="E968" s="2" t="s">
        <v>19</v>
      </c>
      <c r="F968" s="2" t="s">
        <v>20</v>
      </c>
      <c r="G968" s="2" t="s">
        <v>170</v>
      </c>
      <c r="H968" s="2" t="s">
        <v>171</v>
      </c>
      <c r="I968" s="2">
        <v>1</v>
      </c>
      <c r="J968" s="2">
        <v>6188</v>
      </c>
      <c r="K968" s="2">
        <v>0</v>
      </c>
      <c r="L968" s="2">
        <v>0</v>
      </c>
      <c r="M968" s="2">
        <v>6188</v>
      </c>
      <c r="N968" s="2" t="s">
        <v>44</v>
      </c>
      <c r="O968" s="2">
        <v>2</v>
      </c>
      <c r="P968" s="2" t="s">
        <v>24</v>
      </c>
    </row>
    <row r="969" spans="1:16" x14ac:dyDescent="0.25">
      <c r="A969" s="4">
        <v>45706</v>
      </c>
      <c r="B969" s="2" t="s">
        <v>1445</v>
      </c>
      <c r="C969" s="2" t="s">
        <v>598</v>
      </c>
      <c r="D969" t="s">
        <v>59</v>
      </c>
      <c r="E969" s="2" t="s">
        <v>60</v>
      </c>
      <c r="F969" s="2" t="s">
        <v>28</v>
      </c>
      <c r="G969" s="2" t="s">
        <v>188</v>
      </c>
      <c r="H969" s="2" t="s">
        <v>418</v>
      </c>
      <c r="I969" s="2">
        <v>1</v>
      </c>
      <c r="J969" s="2">
        <v>3107</v>
      </c>
      <c r="K969" s="2">
        <v>15</v>
      </c>
      <c r="L969" s="2">
        <v>466.05</v>
      </c>
      <c r="M969" s="2">
        <v>2640.95</v>
      </c>
      <c r="N969" s="2" t="s">
        <v>23</v>
      </c>
      <c r="O969" s="2">
        <v>3</v>
      </c>
      <c r="P969" s="2" t="s">
        <v>24</v>
      </c>
    </row>
    <row r="970" spans="1:16" x14ac:dyDescent="0.25">
      <c r="A970" s="4">
        <v>45707</v>
      </c>
      <c r="B970" s="2" t="s">
        <v>1446</v>
      </c>
      <c r="C970" s="2" t="s">
        <v>1106</v>
      </c>
      <c r="D970" t="s">
        <v>18</v>
      </c>
      <c r="E970" s="2" t="s">
        <v>19</v>
      </c>
      <c r="F970" s="2" t="s">
        <v>71</v>
      </c>
      <c r="G970" s="2" t="s">
        <v>114</v>
      </c>
      <c r="H970" s="2" t="s">
        <v>178</v>
      </c>
      <c r="I970" s="2">
        <v>1</v>
      </c>
      <c r="J970" s="2">
        <v>380</v>
      </c>
      <c r="K970" s="2">
        <v>10</v>
      </c>
      <c r="L970" s="2">
        <v>38</v>
      </c>
      <c r="M970" s="2">
        <v>342</v>
      </c>
      <c r="N970" s="2" t="s">
        <v>23</v>
      </c>
      <c r="O970" s="2">
        <v>3</v>
      </c>
      <c r="P970" s="2" t="s">
        <v>24</v>
      </c>
    </row>
    <row r="971" spans="1:16" x14ac:dyDescent="0.25">
      <c r="A971" s="4">
        <v>45708</v>
      </c>
      <c r="B971" s="2" t="s">
        <v>1447</v>
      </c>
      <c r="C971" s="2" t="s">
        <v>1119</v>
      </c>
      <c r="D971" t="s">
        <v>18</v>
      </c>
      <c r="E971" s="2" t="s">
        <v>19</v>
      </c>
      <c r="F971" s="2" t="s">
        <v>61</v>
      </c>
      <c r="G971" s="2" t="s">
        <v>262</v>
      </c>
      <c r="H971" s="2" t="s">
        <v>310</v>
      </c>
      <c r="I971" s="2">
        <v>1</v>
      </c>
      <c r="J971" s="2">
        <v>984</v>
      </c>
      <c r="K971" s="2">
        <v>10</v>
      </c>
      <c r="L971" s="2">
        <v>98.4</v>
      </c>
      <c r="M971" s="2">
        <v>885.6</v>
      </c>
      <c r="N971" s="2" t="s">
        <v>23</v>
      </c>
      <c r="O971" s="2">
        <v>2</v>
      </c>
      <c r="P971" s="2" t="s">
        <v>24</v>
      </c>
    </row>
    <row r="972" spans="1:16" x14ac:dyDescent="0.25">
      <c r="A972" s="4">
        <v>45709</v>
      </c>
      <c r="B972" s="2" t="s">
        <v>1448</v>
      </c>
      <c r="C972" s="2" t="s">
        <v>815</v>
      </c>
      <c r="D972" t="s">
        <v>47</v>
      </c>
      <c r="E972" s="2" t="s">
        <v>48</v>
      </c>
      <c r="F972" s="2" t="s">
        <v>28</v>
      </c>
      <c r="G972" s="2" t="s">
        <v>188</v>
      </c>
      <c r="H972" s="2" t="s">
        <v>418</v>
      </c>
      <c r="I972" s="2">
        <v>1</v>
      </c>
      <c r="J972" s="2">
        <v>2534</v>
      </c>
      <c r="K972" s="2">
        <v>5</v>
      </c>
      <c r="L972" s="2">
        <v>126.7</v>
      </c>
      <c r="M972" s="2">
        <v>2407.3000000000002</v>
      </c>
      <c r="N972" s="2" t="s">
        <v>56</v>
      </c>
      <c r="O972" s="2">
        <v>1</v>
      </c>
      <c r="P972" s="2" t="s">
        <v>24</v>
      </c>
    </row>
    <row r="973" spans="1:16" x14ac:dyDescent="0.25">
      <c r="A973" s="4">
        <v>45710</v>
      </c>
      <c r="B973" s="2" t="s">
        <v>1449</v>
      </c>
      <c r="C973" s="2" t="s">
        <v>963</v>
      </c>
      <c r="D973" t="s">
        <v>27</v>
      </c>
      <c r="E973" s="2" t="s">
        <v>19</v>
      </c>
      <c r="F973" s="2" t="s">
        <v>20</v>
      </c>
      <c r="G973" s="2" t="s">
        <v>54</v>
      </c>
      <c r="H973" s="2" t="s">
        <v>441</v>
      </c>
      <c r="I973" s="2">
        <v>1</v>
      </c>
      <c r="J973" s="2">
        <v>5892</v>
      </c>
      <c r="K973" s="2">
        <v>0</v>
      </c>
      <c r="L973" s="2">
        <v>0</v>
      </c>
      <c r="M973" s="2">
        <v>5892</v>
      </c>
      <c r="N973" s="2" t="s">
        <v>38</v>
      </c>
      <c r="O973" s="2">
        <v>3</v>
      </c>
      <c r="P973" s="2" t="s">
        <v>24</v>
      </c>
    </row>
    <row r="974" spans="1:16" x14ac:dyDescent="0.25">
      <c r="A974" s="4">
        <v>45711</v>
      </c>
      <c r="B974" s="2" t="s">
        <v>1450</v>
      </c>
      <c r="C974" s="2" t="s">
        <v>147</v>
      </c>
      <c r="D974" t="s">
        <v>59</v>
      </c>
      <c r="E974" s="2" t="s">
        <v>60</v>
      </c>
      <c r="F974" s="2" t="s">
        <v>20</v>
      </c>
      <c r="G974" s="2" t="s">
        <v>54</v>
      </c>
      <c r="H974" s="2" t="s">
        <v>441</v>
      </c>
      <c r="I974" s="2">
        <v>1</v>
      </c>
      <c r="J974" s="2">
        <v>1844</v>
      </c>
      <c r="K974" s="2">
        <v>5</v>
      </c>
      <c r="L974" s="2">
        <v>92.2</v>
      </c>
      <c r="M974" s="2">
        <v>1751.8</v>
      </c>
      <c r="N974" s="2" t="s">
        <v>50</v>
      </c>
      <c r="O974" s="2">
        <v>5</v>
      </c>
      <c r="P974" s="2" t="s">
        <v>24</v>
      </c>
    </row>
    <row r="975" spans="1:16" x14ac:dyDescent="0.25">
      <c r="A975" s="4">
        <v>45712</v>
      </c>
      <c r="B975" s="2" t="s">
        <v>1451</v>
      </c>
      <c r="C975" s="2" t="s">
        <v>242</v>
      </c>
      <c r="D975" t="s">
        <v>41</v>
      </c>
      <c r="E975" s="2" t="s">
        <v>19</v>
      </c>
      <c r="F975" s="2" t="s">
        <v>20</v>
      </c>
      <c r="G975" s="2" t="s">
        <v>42</v>
      </c>
      <c r="H975" s="2" t="s">
        <v>43</v>
      </c>
      <c r="I975" s="2">
        <v>2</v>
      </c>
      <c r="J975" s="2">
        <v>1519</v>
      </c>
      <c r="K975" s="2">
        <v>0</v>
      </c>
      <c r="L975" s="2">
        <v>0</v>
      </c>
      <c r="M975" s="2">
        <v>3038</v>
      </c>
      <c r="N975" s="2" t="s">
        <v>23</v>
      </c>
      <c r="O975" s="2">
        <v>3</v>
      </c>
      <c r="P975" s="2" t="s">
        <v>24</v>
      </c>
    </row>
    <row r="976" spans="1:16" x14ac:dyDescent="0.25">
      <c r="A976" s="4">
        <v>45713</v>
      </c>
      <c r="B976" s="2" t="s">
        <v>1452</v>
      </c>
      <c r="C976" s="2" t="s">
        <v>815</v>
      </c>
      <c r="D976" t="s">
        <v>84</v>
      </c>
      <c r="E976" s="2" t="s">
        <v>85</v>
      </c>
      <c r="F976" s="2" t="s">
        <v>35</v>
      </c>
      <c r="G976" s="2" t="s">
        <v>130</v>
      </c>
      <c r="H976" s="2" t="s">
        <v>198</v>
      </c>
      <c r="I976" s="2">
        <v>1</v>
      </c>
      <c r="J976" s="2">
        <v>11469</v>
      </c>
      <c r="K976" s="2">
        <v>0</v>
      </c>
      <c r="L976" s="2">
        <v>0</v>
      </c>
      <c r="M976" s="2">
        <v>11469</v>
      </c>
      <c r="N976" s="2" t="s">
        <v>56</v>
      </c>
      <c r="O976" s="2">
        <v>2</v>
      </c>
      <c r="P976" s="2" t="s">
        <v>24</v>
      </c>
    </row>
    <row r="977" spans="1:16" x14ac:dyDescent="0.25">
      <c r="A977" s="4">
        <v>45714</v>
      </c>
      <c r="B977" s="2" t="s">
        <v>1453</v>
      </c>
      <c r="C977" s="2" t="s">
        <v>345</v>
      </c>
      <c r="D977" t="s">
        <v>59</v>
      </c>
      <c r="E977" s="2" t="s">
        <v>60</v>
      </c>
      <c r="F977" s="2" t="s">
        <v>61</v>
      </c>
      <c r="G977" s="2" t="s">
        <v>262</v>
      </c>
      <c r="H977" s="2" t="s">
        <v>263</v>
      </c>
      <c r="I977" s="2">
        <v>1</v>
      </c>
      <c r="J977" s="2">
        <v>640</v>
      </c>
      <c r="K977" s="2">
        <v>0</v>
      </c>
      <c r="L977" s="2">
        <v>0</v>
      </c>
      <c r="M977" s="2">
        <v>640</v>
      </c>
      <c r="N977" s="2" t="s">
        <v>50</v>
      </c>
      <c r="O977" s="2">
        <v>2</v>
      </c>
      <c r="P977" s="2" t="s">
        <v>24</v>
      </c>
    </row>
    <row r="978" spans="1:16" x14ac:dyDescent="0.25">
      <c r="A978" s="4">
        <v>45715</v>
      </c>
      <c r="B978" s="2" t="s">
        <v>1454</v>
      </c>
      <c r="C978" s="2" t="s">
        <v>447</v>
      </c>
      <c r="D978" t="s">
        <v>27</v>
      </c>
      <c r="E978" s="2" t="s">
        <v>19</v>
      </c>
      <c r="F978" s="2" t="s">
        <v>35</v>
      </c>
      <c r="G978" s="2" t="s">
        <v>130</v>
      </c>
      <c r="H978" s="2" t="s">
        <v>131</v>
      </c>
      <c r="I978" s="2">
        <v>1</v>
      </c>
      <c r="J978" s="2">
        <v>35360</v>
      </c>
      <c r="K978" s="2">
        <v>10</v>
      </c>
      <c r="L978" s="2">
        <v>3536</v>
      </c>
      <c r="M978" s="2">
        <v>31824</v>
      </c>
      <c r="N978" s="2" t="s">
        <v>23</v>
      </c>
      <c r="O978" s="2">
        <v>1</v>
      </c>
      <c r="P978" s="2" t="s">
        <v>24</v>
      </c>
    </row>
    <row r="979" spans="1:16" x14ac:dyDescent="0.25">
      <c r="A979" s="4">
        <v>45716</v>
      </c>
      <c r="B979" s="2" t="s">
        <v>1455</v>
      </c>
      <c r="C979" s="2" t="s">
        <v>510</v>
      </c>
      <c r="D979" t="s">
        <v>59</v>
      </c>
      <c r="E979" s="2" t="s">
        <v>60</v>
      </c>
      <c r="F979" s="2" t="s">
        <v>61</v>
      </c>
      <c r="G979" s="2" t="s">
        <v>150</v>
      </c>
      <c r="H979" s="2" t="s">
        <v>501</v>
      </c>
      <c r="I979" s="2">
        <v>1</v>
      </c>
      <c r="J979" s="2">
        <v>808</v>
      </c>
      <c r="K979" s="2">
        <v>5</v>
      </c>
      <c r="L979" s="2">
        <v>40.4</v>
      </c>
      <c r="M979" s="2">
        <v>767.6</v>
      </c>
      <c r="N979" s="2" t="s">
        <v>50</v>
      </c>
      <c r="O979" s="2">
        <v>2</v>
      </c>
      <c r="P979" s="2" t="s">
        <v>24</v>
      </c>
    </row>
    <row r="980" spans="1:16" x14ac:dyDescent="0.25">
      <c r="A980" s="4">
        <v>45717</v>
      </c>
      <c r="B980" s="2" t="s">
        <v>1456</v>
      </c>
      <c r="C980" s="2" t="s">
        <v>938</v>
      </c>
      <c r="D980" t="s">
        <v>27</v>
      </c>
      <c r="E980" s="2" t="s">
        <v>19</v>
      </c>
      <c r="F980" s="2" t="s">
        <v>35</v>
      </c>
      <c r="G980" s="2" t="s">
        <v>80</v>
      </c>
      <c r="H980" s="2" t="s">
        <v>274</v>
      </c>
      <c r="I980" s="2">
        <v>1</v>
      </c>
      <c r="J980" s="2">
        <v>39000</v>
      </c>
      <c r="K980" s="2">
        <v>10</v>
      </c>
      <c r="L980" s="2">
        <v>3900</v>
      </c>
      <c r="M980" s="2">
        <v>35100</v>
      </c>
      <c r="N980" s="2" t="s">
        <v>50</v>
      </c>
      <c r="O980" s="2">
        <v>1</v>
      </c>
      <c r="P980" s="2" t="s">
        <v>24</v>
      </c>
    </row>
    <row r="981" spans="1:16" x14ac:dyDescent="0.25">
      <c r="A981" s="4">
        <v>45718</v>
      </c>
      <c r="B981" s="2" t="s">
        <v>1457</v>
      </c>
      <c r="C981" s="2" t="s">
        <v>468</v>
      </c>
      <c r="D981" t="s">
        <v>53</v>
      </c>
      <c r="E981" s="2" t="s">
        <v>53</v>
      </c>
      <c r="F981" s="2" t="s">
        <v>20</v>
      </c>
      <c r="G981" s="2" t="s">
        <v>42</v>
      </c>
      <c r="H981" s="2" t="s">
        <v>195</v>
      </c>
      <c r="I981" s="2">
        <v>2</v>
      </c>
      <c r="J981" s="2">
        <v>4592</v>
      </c>
      <c r="K981" s="2">
        <v>5</v>
      </c>
      <c r="L981" s="2">
        <v>459.2</v>
      </c>
      <c r="M981" s="2">
        <v>8724.7999999999993</v>
      </c>
      <c r="N981" s="2" t="s">
        <v>56</v>
      </c>
      <c r="O981" s="2">
        <v>1</v>
      </c>
      <c r="P981" s="2" t="s">
        <v>24</v>
      </c>
    </row>
    <row r="982" spans="1:16" x14ac:dyDescent="0.25">
      <c r="A982" s="4">
        <v>45719</v>
      </c>
      <c r="B982" s="2" t="s">
        <v>1458</v>
      </c>
      <c r="C982" s="2" t="s">
        <v>447</v>
      </c>
      <c r="D982" t="s">
        <v>66</v>
      </c>
      <c r="E982" s="2" t="s">
        <v>19</v>
      </c>
      <c r="F982" s="2" t="s">
        <v>28</v>
      </c>
      <c r="G982" s="2" t="s">
        <v>90</v>
      </c>
      <c r="H982" s="2" t="s">
        <v>456</v>
      </c>
      <c r="I982" s="2">
        <v>1</v>
      </c>
      <c r="J982" s="2">
        <v>4457</v>
      </c>
      <c r="K982" s="2">
        <v>10</v>
      </c>
      <c r="L982" s="2">
        <v>445.7</v>
      </c>
      <c r="M982" s="2">
        <v>4011.3</v>
      </c>
      <c r="N982" s="2" t="s">
        <v>23</v>
      </c>
      <c r="O982" s="2">
        <v>2</v>
      </c>
      <c r="P982" s="2" t="s">
        <v>24</v>
      </c>
    </row>
    <row r="983" spans="1:16" x14ac:dyDescent="0.25">
      <c r="A983" s="4">
        <v>45720</v>
      </c>
      <c r="B983" s="2" t="s">
        <v>1459</v>
      </c>
      <c r="C983" s="2" t="s">
        <v>813</v>
      </c>
      <c r="D983" t="s">
        <v>84</v>
      </c>
      <c r="E983" s="2" t="s">
        <v>85</v>
      </c>
      <c r="F983" s="2" t="s">
        <v>35</v>
      </c>
      <c r="G983" s="2" t="s">
        <v>80</v>
      </c>
      <c r="H983" s="2" t="s">
        <v>216</v>
      </c>
      <c r="I983" s="2">
        <v>3</v>
      </c>
      <c r="J983" s="2">
        <v>26053</v>
      </c>
      <c r="K983" s="2">
        <v>0</v>
      </c>
      <c r="L983" s="2">
        <v>0</v>
      </c>
      <c r="M983" s="2">
        <v>78159</v>
      </c>
      <c r="N983" s="2" t="s">
        <v>23</v>
      </c>
      <c r="O983" s="2">
        <v>2</v>
      </c>
      <c r="P983" s="2" t="s">
        <v>24</v>
      </c>
    </row>
    <row r="984" spans="1:16" x14ac:dyDescent="0.25">
      <c r="A984" s="4">
        <v>45721</v>
      </c>
      <c r="B984" s="2" t="s">
        <v>1460</v>
      </c>
      <c r="C984" s="2" t="s">
        <v>557</v>
      </c>
      <c r="D984" t="s">
        <v>59</v>
      </c>
      <c r="E984" s="2" t="s">
        <v>60</v>
      </c>
      <c r="F984" s="2" t="s">
        <v>71</v>
      </c>
      <c r="G984" s="2" t="s">
        <v>72</v>
      </c>
      <c r="H984" s="2" t="s">
        <v>266</v>
      </c>
      <c r="I984" s="2">
        <v>3</v>
      </c>
      <c r="J984" s="2">
        <v>901</v>
      </c>
      <c r="K984" s="2">
        <v>15</v>
      </c>
      <c r="L984" s="2">
        <v>405.45</v>
      </c>
      <c r="M984" s="2">
        <v>2297.5500000000002</v>
      </c>
      <c r="N984" s="2" t="s">
        <v>50</v>
      </c>
      <c r="O984" s="2">
        <v>4</v>
      </c>
      <c r="P984" s="2" t="s">
        <v>24</v>
      </c>
    </row>
    <row r="985" spans="1:16" x14ac:dyDescent="0.25">
      <c r="A985" s="4">
        <v>45722</v>
      </c>
      <c r="B985" s="2" t="s">
        <v>1461</v>
      </c>
      <c r="C985" s="2" t="s">
        <v>1478</v>
      </c>
      <c r="D985" t="s">
        <v>84</v>
      </c>
      <c r="E985" s="2" t="s">
        <v>85</v>
      </c>
      <c r="F985" s="2" t="s">
        <v>71</v>
      </c>
      <c r="G985" s="2" t="s">
        <v>114</v>
      </c>
      <c r="H985" s="2" t="s">
        <v>543</v>
      </c>
      <c r="I985" s="2">
        <v>1</v>
      </c>
      <c r="J985" s="2">
        <v>506</v>
      </c>
      <c r="K985" s="2">
        <v>0</v>
      </c>
      <c r="L985" s="2">
        <v>0</v>
      </c>
      <c r="M985" s="2">
        <v>506</v>
      </c>
      <c r="N985" s="2" t="s">
        <v>23</v>
      </c>
      <c r="O985" s="2">
        <v>2</v>
      </c>
      <c r="P985" s="2" t="s">
        <v>24</v>
      </c>
    </row>
    <row r="986" spans="1:16" x14ac:dyDescent="0.25">
      <c r="A986" s="4">
        <v>45723</v>
      </c>
      <c r="B986" s="2" t="s">
        <v>1462</v>
      </c>
      <c r="C986" s="2" t="s">
        <v>590</v>
      </c>
      <c r="D986" t="s">
        <v>174</v>
      </c>
      <c r="E986" s="2" t="s">
        <v>60</v>
      </c>
      <c r="F986" s="2" t="s">
        <v>71</v>
      </c>
      <c r="G986" s="2" t="s">
        <v>72</v>
      </c>
      <c r="H986" s="2" t="s">
        <v>266</v>
      </c>
      <c r="I986" s="2">
        <v>3</v>
      </c>
      <c r="J986" s="2">
        <v>636</v>
      </c>
      <c r="K986" s="2">
        <v>0</v>
      </c>
      <c r="L986" s="2">
        <v>0</v>
      </c>
      <c r="M986" s="2">
        <v>1908</v>
      </c>
      <c r="N986" s="2" t="s">
        <v>56</v>
      </c>
      <c r="O986" s="2">
        <v>1</v>
      </c>
      <c r="P986" s="2" t="s">
        <v>24</v>
      </c>
    </row>
    <row r="987" spans="1:16" x14ac:dyDescent="0.25">
      <c r="A987" s="4">
        <v>45724</v>
      </c>
      <c r="B987" s="2" t="s">
        <v>1463</v>
      </c>
      <c r="C987" s="2" t="s">
        <v>559</v>
      </c>
      <c r="D987" t="s">
        <v>53</v>
      </c>
      <c r="E987" s="2" t="s">
        <v>53</v>
      </c>
      <c r="F987" s="2" t="s">
        <v>35</v>
      </c>
      <c r="G987" s="2" t="s">
        <v>124</v>
      </c>
      <c r="H987" s="2" t="s">
        <v>142</v>
      </c>
      <c r="I987" s="2">
        <v>1</v>
      </c>
      <c r="J987" s="2">
        <v>34462</v>
      </c>
      <c r="K987" s="2">
        <v>0</v>
      </c>
      <c r="L987" s="2">
        <v>0</v>
      </c>
      <c r="M987" s="2">
        <v>34462</v>
      </c>
      <c r="N987" s="2" t="s">
        <v>23</v>
      </c>
      <c r="O987" s="2">
        <v>2</v>
      </c>
      <c r="P987" s="2" t="s">
        <v>24</v>
      </c>
    </row>
    <row r="988" spans="1:16" x14ac:dyDescent="0.25">
      <c r="A988" s="4">
        <v>45725</v>
      </c>
      <c r="B988" s="2" t="s">
        <v>1464</v>
      </c>
      <c r="C988" s="2" t="s">
        <v>590</v>
      </c>
      <c r="D988" t="s">
        <v>53</v>
      </c>
      <c r="E988" s="2" t="s">
        <v>53</v>
      </c>
      <c r="F988" s="2" t="s">
        <v>61</v>
      </c>
      <c r="G988" s="2" t="s">
        <v>250</v>
      </c>
      <c r="H988" s="2" t="s">
        <v>256</v>
      </c>
      <c r="I988" s="2">
        <v>1</v>
      </c>
      <c r="J988" s="2">
        <v>1725</v>
      </c>
      <c r="K988" s="2">
        <v>10</v>
      </c>
      <c r="L988" s="2">
        <v>172.5</v>
      </c>
      <c r="M988" s="2">
        <v>1552.5</v>
      </c>
      <c r="N988" s="2" t="s">
        <v>50</v>
      </c>
      <c r="O988" s="2">
        <v>5</v>
      </c>
      <c r="P988" s="2" t="s">
        <v>24</v>
      </c>
    </row>
    <row r="989" spans="1:16" x14ac:dyDescent="0.25">
      <c r="A989" s="4">
        <v>45726</v>
      </c>
      <c r="B989" s="2" t="s">
        <v>1465</v>
      </c>
      <c r="C989" s="2" t="s">
        <v>550</v>
      </c>
      <c r="D989" t="s">
        <v>18</v>
      </c>
      <c r="E989" s="2" t="s">
        <v>19</v>
      </c>
      <c r="F989" s="2" t="s">
        <v>71</v>
      </c>
      <c r="G989" s="2" t="s">
        <v>114</v>
      </c>
      <c r="H989" s="2" t="s">
        <v>245</v>
      </c>
      <c r="I989" s="2">
        <v>1</v>
      </c>
      <c r="J989" s="2">
        <v>460</v>
      </c>
      <c r="K989" s="2">
        <v>15</v>
      </c>
      <c r="L989" s="2">
        <v>69</v>
      </c>
      <c r="M989" s="2">
        <v>391</v>
      </c>
      <c r="N989" s="2" t="s">
        <v>23</v>
      </c>
      <c r="O989" s="2">
        <v>2</v>
      </c>
      <c r="P989" s="2" t="s">
        <v>24</v>
      </c>
    </row>
    <row r="990" spans="1:16" x14ac:dyDescent="0.25">
      <c r="A990" s="4">
        <v>45727</v>
      </c>
      <c r="B990" s="2" t="s">
        <v>1466</v>
      </c>
      <c r="C990" s="2" t="s">
        <v>605</v>
      </c>
      <c r="D990" t="s">
        <v>174</v>
      </c>
      <c r="E990" s="2" t="s">
        <v>60</v>
      </c>
      <c r="F990" s="2" t="s">
        <v>28</v>
      </c>
      <c r="G990" s="2" t="s">
        <v>289</v>
      </c>
      <c r="H990" s="2" t="s">
        <v>554</v>
      </c>
      <c r="I990" s="2">
        <v>1</v>
      </c>
      <c r="J990" s="2">
        <v>968</v>
      </c>
      <c r="K990" s="2">
        <v>5</v>
      </c>
      <c r="L990" s="2">
        <v>48.4</v>
      </c>
      <c r="M990" s="2">
        <v>919.6</v>
      </c>
      <c r="N990" s="2" t="s">
        <v>56</v>
      </c>
      <c r="O990" s="2">
        <v>1</v>
      </c>
      <c r="P990" s="2" t="s">
        <v>24</v>
      </c>
    </row>
    <row r="991" spans="1:16" x14ac:dyDescent="0.25">
      <c r="A991" s="4">
        <v>45728</v>
      </c>
      <c r="B991" s="2" t="s">
        <v>1467</v>
      </c>
      <c r="C991" s="2" t="s">
        <v>1468</v>
      </c>
      <c r="D991" t="s">
        <v>33</v>
      </c>
      <c r="E991" s="2" t="s">
        <v>34</v>
      </c>
      <c r="F991" s="2" t="s">
        <v>35</v>
      </c>
      <c r="G991" s="2" t="s">
        <v>36</v>
      </c>
      <c r="H991" s="2" t="s">
        <v>341</v>
      </c>
      <c r="I991" s="2">
        <v>1</v>
      </c>
      <c r="J991" s="2">
        <v>11635</v>
      </c>
      <c r="K991" s="2">
        <v>15</v>
      </c>
      <c r="L991" s="2">
        <v>1745.25</v>
      </c>
      <c r="M991" s="2">
        <v>9889.75</v>
      </c>
      <c r="N991" s="2" t="s">
        <v>56</v>
      </c>
      <c r="O991" s="2">
        <v>1</v>
      </c>
      <c r="P991" s="2" t="s">
        <v>24</v>
      </c>
    </row>
    <row r="992" spans="1:16" x14ac:dyDescent="0.25">
      <c r="A992" s="4">
        <v>45729</v>
      </c>
      <c r="B992" s="2" t="s">
        <v>1469</v>
      </c>
      <c r="C992" s="2" t="s">
        <v>462</v>
      </c>
      <c r="D992" t="s">
        <v>18</v>
      </c>
      <c r="E992" s="2" t="s">
        <v>19</v>
      </c>
      <c r="F992" s="2" t="s">
        <v>61</v>
      </c>
      <c r="G992" s="2" t="s">
        <v>250</v>
      </c>
      <c r="H992" s="2" t="s">
        <v>366</v>
      </c>
      <c r="I992" s="2">
        <v>2</v>
      </c>
      <c r="J992" s="2">
        <v>190</v>
      </c>
      <c r="K992" s="2">
        <v>15</v>
      </c>
      <c r="L992" s="2">
        <v>57</v>
      </c>
      <c r="M992" s="2">
        <v>323</v>
      </c>
      <c r="N992" s="2" t="s">
        <v>50</v>
      </c>
      <c r="O992" s="2">
        <v>3</v>
      </c>
      <c r="P992" s="2" t="s">
        <v>24</v>
      </c>
    </row>
    <row r="993" spans="1:16" x14ac:dyDescent="0.25">
      <c r="A993" s="4">
        <v>45730</v>
      </c>
      <c r="B993" s="2" t="s">
        <v>1470</v>
      </c>
      <c r="C993" s="2" t="s">
        <v>1238</v>
      </c>
      <c r="D993" t="s">
        <v>41</v>
      </c>
      <c r="E993" s="2" t="s">
        <v>19</v>
      </c>
      <c r="F993" s="2" t="s">
        <v>61</v>
      </c>
      <c r="G993" s="2" t="s">
        <v>150</v>
      </c>
      <c r="H993" s="2" t="s">
        <v>151</v>
      </c>
      <c r="I993" s="2">
        <v>1</v>
      </c>
      <c r="J993" s="2">
        <v>1081</v>
      </c>
      <c r="K993" s="2">
        <v>15</v>
      </c>
      <c r="L993" s="2">
        <v>162.15</v>
      </c>
      <c r="M993" s="2">
        <v>918.85</v>
      </c>
      <c r="N993" s="2" t="s">
        <v>23</v>
      </c>
      <c r="O993" s="2">
        <v>3</v>
      </c>
      <c r="P993" s="2" t="s">
        <v>24</v>
      </c>
    </row>
    <row r="994" spans="1:16" x14ac:dyDescent="0.25">
      <c r="A994" s="4">
        <v>45731</v>
      </c>
      <c r="B994" s="2" t="s">
        <v>1471</v>
      </c>
      <c r="C994" s="2" t="s">
        <v>641</v>
      </c>
      <c r="D994" t="s">
        <v>174</v>
      </c>
      <c r="E994" s="2" t="s">
        <v>60</v>
      </c>
      <c r="F994" s="2" t="s">
        <v>20</v>
      </c>
      <c r="G994" s="2" t="s">
        <v>21</v>
      </c>
      <c r="H994" s="2" t="s">
        <v>121</v>
      </c>
      <c r="I994" s="2">
        <v>3</v>
      </c>
      <c r="J994" s="2">
        <v>6362</v>
      </c>
      <c r="K994" s="2">
        <v>15</v>
      </c>
      <c r="L994" s="2">
        <v>2862.9</v>
      </c>
      <c r="M994" s="2">
        <v>16223.1</v>
      </c>
      <c r="N994" s="2" t="s">
        <v>23</v>
      </c>
      <c r="O994" s="2">
        <v>2</v>
      </c>
      <c r="P994" s="2" t="s">
        <v>24</v>
      </c>
    </row>
    <row r="995" spans="1:16" x14ac:dyDescent="0.25">
      <c r="A995" s="4">
        <v>45732</v>
      </c>
      <c r="B995" s="2" t="s">
        <v>1472</v>
      </c>
      <c r="C995" s="2" t="s">
        <v>244</v>
      </c>
      <c r="D995" t="s">
        <v>53</v>
      </c>
      <c r="E995" s="2" t="s">
        <v>53</v>
      </c>
      <c r="F995" s="2" t="s">
        <v>61</v>
      </c>
      <c r="G995" s="2" t="s">
        <v>62</v>
      </c>
      <c r="H995" s="2" t="s">
        <v>63</v>
      </c>
      <c r="I995" s="2">
        <v>1</v>
      </c>
      <c r="J995" s="2">
        <v>1005</v>
      </c>
      <c r="K995" s="2">
        <v>10</v>
      </c>
      <c r="L995" s="2">
        <v>100.5</v>
      </c>
      <c r="M995" s="2">
        <v>904.5</v>
      </c>
      <c r="N995" s="2" t="s">
        <v>50</v>
      </c>
      <c r="O995" s="2">
        <v>2</v>
      </c>
      <c r="P995" s="2" t="s">
        <v>24</v>
      </c>
    </row>
    <row r="996" spans="1:16" x14ac:dyDescent="0.25">
      <c r="A996" s="4">
        <v>45733</v>
      </c>
      <c r="B996" s="2" t="s">
        <v>1473</v>
      </c>
      <c r="C996" s="2" t="s">
        <v>32</v>
      </c>
      <c r="D996" t="s">
        <v>47</v>
      </c>
      <c r="E996" s="2" t="s">
        <v>48</v>
      </c>
      <c r="F996" s="2" t="s">
        <v>61</v>
      </c>
      <c r="G996" s="2" t="s">
        <v>62</v>
      </c>
      <c r="H996" s="2" t="s">
        <v>414</v>
      </c>
      <c r="I996" s="2">
        <v>1</v>
      </c>
      <c r="J996" s="2">
        <v>548</v>
      </c>
      <c r="K996" s="2">
        <v>10</v>
      </c>
      <c r="L996" s="2">
        <v>54.8</v>
      </c>
      <c r="M996" s="2">
        <v>493.2</v>
      </c>
      <c r="N996" s="2" t="s">
        <v>50</v>
      </c>
      <c r="O996" s="2">
        <v>2</v>
      </c>
      <c r="P996" s="2" t="s">
        <v>24</v>
      </c>
    </row>
    <row r="997" spans="1:16" x14ac:dyDescent="0.25">
      <c r="A997" s="4">
        <v>45734</v>
      </c>
      <c r="B997" s="2" t="s">
        <v>1474</v>
      </c>
      <c r="C997" s="2" t="s">
        <v>422</v>
      </c>
      <c r="D997" t="s">
        <v>84</v>
      </c>
      <c r="E997" s="2" t="s">
        <v>85</v>
      </c>
      <c r="F997" s="2" t="s">
        <v>28</v>
      </c>
      <c r="G997" s="2" t="s">
        <v>188</v>
      </c>
      <c r="H997" s="2" t="s">
        <v>189</v>
      </c>
      <c r="I997" s="2">
        <v>1</v>
      </c>
      <c r="J997" s="2">
        <v>4105</v>
      </c>
      <c r="K997" s="2">
        <v>5</v>
      </c>
      <c r="L997" s="2">
        <v>205.25</v>
      </c>
      <c r="M997" s="2">
        <v>3899.75</v>
      </c>
      <c r="N997" s="2" t="s">
        <v>23</v>
      </c>
      <c r="O997" s="2">
        <v>2</v>
      </c>
      <c r="P997" s="2" t="s">
        <v>24</v>
      </c>
    </row>
    <row r="998" spans="1:16" x14ac:dyDescent="0.25">
      <c r="A998" s="4">
        <v>45735</v>
      </c>
      <c r="B998" s="2" t="s">
        <v>1475</v>
      </c>
      <c r="C998" s="2" t="s">
        <v>826</v>
      </c>
      <c r="D998" t="s">
        <v>27</v>
      </c>
      <c r="E998" s="2" t="s">
        <v>19</v>
      </c>
      <c r="F998" s="2" t="s">
        <v>61</v>
      </c>
      <c r="G998" s="2" t="s">
        <v>62</v>
      </c>
      <c r="H998" s="2" t="s">
        <v>515</v>
      </c>
      <c r="I998" s="2">
        <v>1</v>
      </c>
      <c r="J998" s="2">
        <v>1516</v>
      </c>
      <c r="K998" s="2">
        <v>0</v>
      </c>
      <c r="L998" s="2">
        <v>0</v>
      </c>
      <c r="M998" s="2">
        <v>1516</v>
      </c>
      <c r="N998" s="2" t="s">
        <v>44</v>
      </c>
      <c r="O998" s="2">
        <v>6</v>
      </c>
      <c r="P998" s="2" t="s">
        <v>92</v>
      </c>
    </row>
    <row r="999" spans="1:16" x14ac:dyDescent="0.25">
      <c r="A999" s="4">
        <v>45736</v>
      </c>
      <c r="B999" s="2" t="s">
        <v>1476</v>
      </c>
      <c r="C999" s="2" t="s">
        <v>223</v>
      </c>
      <c r="D999" t="s">
        <v>53</v>
      </c>
      <c r="E999" s="2" t="s">
        <v>53</v>
      </c>
      <c r="F999" s="2" t="s">
        <v>28</v>
      </c>
      <c r="G999" s="2" t="s">
        <v>188</v>
      </c>
      <c r="H999" s="2" t="s">
        <v>418</v>
      </c>
      <c r="I999" s="2">
        <v>1</v>
      </c>
      <c r="J999" s="2">
        <v>4386</v>
      </c>
      <c r="K999" s="2">
        <v>5</v>
      </c>
      <c r="L999" s="2">
        <v>219.3</v>
      </c>
      <c r="M999" s="2">
        <v>4166.7</v>
      </c>
      <c r="N999" s="2" t="s">
        <v>56</v>
      </c>
      <c r="O999" s="2">
        <v>1</v>
      </c>
      <c r="P999" s="2" t="s">
        <v>24</v>
      </c>
    </row>
    <row r="1000" spans="1:16" x14ac:dyDescent="0.25">
      <c r="A1000" s="4">
        <v>45737</v>
      </c>
      <c r="B1000" s="2" t="s">
        <v>1477</v>
      </c>
      <c r="C1000" s="2" t="s">
        <v>533</v>
      </c>
      <c r="D1000" t="s">
        <v>33</v>
      </c>
      <c r="E1000" s="2" t="s">
        <v>34</v>
      </c>
      <c r="F1000" s="2" t="s">
        <v>35</v>
      </c>
      <c r="G1000" s="2" t="s">
        <v>67</v>
      </c>
      <c r="H1000" s="2" t="s">
        <v>68</v>
      </c>
      <c r="I1000" s="2">
        <v>1</v>
      </c>
      <c r="J1000" s="2">
        <v>6394</v>
      </c>
      <c r="K1000" s="2">
        <v>0</v>
      </c>
      <c r="L1000" s="2">
        <v>0</v>
      </c>
      <c r="M1000" s="2">
        <v>6394</v>
      </c>
      <c r="N1000" s="2" t="s">
        <v>23</v>
      </c>
      <c r="O1000" s="2">
        <v>2</v>
      </c>
      <c r="P1000" s="2" t="s">
        <v>24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6D6E90-DC03-4492-8363-9C96B27370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Sheet1</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Sadhana T</dc:creator>
  <cp:lastModifiedBy>Sadhana T</cp:lastModifiedBy>
  <dcterms:created xsi:type="dcterms:W3CDTF">2026-06-27T07:01:22Z</dcterms:created>
  <dcterms:modified xsi:type="dcterms:W3CDTF">2026-07-06T05:34:54Z</dcterms:modified>
</cp:coreProperties>
</file>